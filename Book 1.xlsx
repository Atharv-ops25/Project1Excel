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1451" documentId="11_E60897F41BE170836B02CE998F75CCDC64E183C8" xr6:coauthVersionLast="47" xr6:coauthVersionMax="47" xr10:uidLastSave="{8B24D743-8842-4487-8742-3A5CFC4321C2}"/>
  <bookViews>
    <workbookView xWindow="240" yWindow="105" windowWidth="14805" windowHeight="8010" firstSheet="28" activeTab="2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9" sheetId="29" r:id="rId28"/>
    <sheet name="Sheet28" sheetId="28" r:id="rId29"/>
    <sheet name="Sheet30" sheetId="30" r:id="rId30"/>
  </sheets>
  <definedNames>
    <definedName name="Slicer_Department">#N/A</definedName>
    <definedName name="Slicer_Status">#N/A</definedName>
  </definedNames>
  <calcPr calcId="191028"/>
  <pivotCaches>
    <pivotCache cacheId="32" r:id="rId31"/>
    <pivotCache cacheId="37" r:id="rId32"/>
    <pivotCache cacheId="41" r:id="rId33"/>
    <pivotCache cacheId="45" r:id="rId34"/>
  </pivotCaches>
  <extLst>
    <ext xmlns:x14="http://schemas.microsoft.com/office/spreadsheetml/2009/9/main" uri="{BBE1A952-AA13-448e-AADC-164F8A28A991}">
      <x14:slicerCaches>
        <x14:slicerCache r:id="rId35"/>
        <x14:slicerCache r:id="rId3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28" l="1" a="1"/>
  <c r="L2" i="28"/>
  <c r="K2" i="28" a="1"/>
  <c r="K2" i="28"/>
  <c r="J2" i="28" a="1"/>
  <c r="J2" i="28"/>
  <c r="K3" i="28" a="1"/>
  <c r="K3" i="28"/>
  <c r="K4" i="28" a="1"/>
  <c r="K4" i="28"/>
  <c r="K5" i="28" a="1"/>
  <c r="K5" i="28"/>
  <c r="K6" i="28" a="1"/>
  <c r="K6" i="28"/>
  <c r="K7" i="28" a="1"/>
  <c r="K7" i="28"/>
  <c r="K8" i="28" a="1"/>
  <c r="K8" i="28"/>
  <c r="K9" i="28" a="1"/>
  <c r="K9" i="28"/>
  <c r="G2" i="28" a="1"/>
  <c r="G2" i="28"/>
  <c r="G3" i="28" a="1"/>
  <c r="G3" i="28"/>
  <c r="G4" i="28" a="1"/>
  <c r="G4" i="28"/>
  <c r="G5" i="28" a="1"/>
  <c r="G5" i="28"/>
  <c r="G6" i="28" a="1"/>
  <c r="G6" i="28"/>
  <c r="G7" i="28" a="1"/>
  <c r="G7" i="28"/>
  <c r="G8" i="28" a="1"/>
  <c r="G8" i="28"/>
  <c r="G9" i="28" a="1"/>
  <c r="G9" i="28"/>
  <c r="I2" i="22"/>
  <c r="M2" i="27" a="1"/>
  <c r="M2" i="27"/>
  <c r="G2" i="27" a="1"/>
  <c r="G2" i="27"/>
  <c r="G2" i="26" a="1"/>
  <c r="G2" i="26"/>
  <c r="G13" i="24" a="1"/>
  <c r="G13" i="24"/>
  <c r="G6" i="24" a="1"/>
  <c r="G6" i="24"/>
  <c r="G2" i="24" a="1"/>
  <c r="G2" i="24"/>
  <c r="I47" i="22"/>
  <c r="I48" i="22"/>
  <c r="I49" i="22"/>
  <c r="I50" i="22"/>
  <c r="I51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35" i="22"/>
  <c r="J36" i="22"/>
  <c r="J37" i="22"/>
  <c r="J38" i="22"/>
  <c r="J39" i="22"/>
  <c r="J40" i="22"/>
  <c r="J41" i="22"/>
  <c r="J42" i="22"/>
  <c r="J43" i="22"/>
  <c r="J44" i="22"/>
  <c r="J45" i="22"/>
  <c r="J46" i="22"/>
  <c r="J47" i="22"/>
  <c r="J48" i="22"/>
  <c r="J49" i="22"/>
  <c r="J50" i="22"/>
  <c r="J51" i="22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2" i="22"/>
  <c r="A62" i="22" a="1"/>
  <c r="A62" i="22"/>
  <c r="A61" i="22"/>
  <c r="A60" i="22" a="1"/>
  <c r="A60" i="22"/>
  <c r="A59" i="22"/>
  <c r="A58" i="22"/>
  <c r="A57" i="22"/>
  <c r="A56" i="22"/>
  <c r="A55" i="22"/>
  <c r="A54" i="22"/>
  <c r="A53" i="22"/>
  <c r="M2" i="21"/>
  <c r="J5" i="21"/>
  <c r="J4" i="21"/>
  <c r="K3" i="21"/>
  <c r="K4" i="21"/>
  <c r="K5" i="21"/>
  <c r="J3" i="21"/>
  <c r="K2" i="21"/>
  <c r="J2" i="21"/>
  <c r="L3" i="20"/>
  <c r="L4" i="20"/>
  <c r="L2" i="20"/>
  <c r="K2" i="19"/>
  <c r="K3" i="19"/>
  <c r="K4" i="19"/>
  <c r="K5" i="19"/>
  <c r="K6" i="19"/>
  <c r="K7" i="19"/>
  <c r="K8" i="19"/>
  <c r="K9" i="19"/>
  <c r="K10" i="19"/>
  <c r="K11" i="19"/>
  <c r="K12" i="19"/>
  <c r="H3" i="19"/>
  <c r="H4" i="19"/>
  <c r="H5" i="19"/>
  <c r="H2" i="19"/>
  <c r="N3" i="17"/>
  <c r="N4" i="17"/>
  <c r="N5" i="17"/>
  <c r="N6" i="17"/>
  <c r="N7" i="17"/>
  <c r="N8" i="17"/>
  <c r="N9" i="17"/>
  <c r="N10" i="17"/>
  <c r="N11" i="17"/>
  <c r="N12" i="17"/>
  <c r="N13" i="17"/>
  <c r="N2" i="17"/>
  <c r="M3" i="17"/>
  <c r="M4" i="17"/>
  <c r="M5" i="17"/>
  <c r="M6" i="17"/>
  <c r="M7" i="17"/>
  <c r="M8" i="17"/>
  <c r="M9" i="17"/>
  <c r="M10" i="17"/>
  <c r="M11" i="17"/>
  <c r="M12" i="17"/>
  <c r="M13" i="17"/>
  <c r="M2" i="17"/>
  <c r="L3" i="17"/>
  <c r="L4" i="17"/>
  <c r="L5" i="17"/>
  <c r="L6" i="17"/>
  <c r="L7" i="17"/>
  <c r="L8" i="17"/>
  <c r="L9" i="17"/>
  <c r="L10" i="17"/>
  <c r="L11" i="17"/>
  <c r="L12" i="17"/>
  <c r="L13" i="17"/>
  <c r="L2" i="17"/>
  <c r="J3" i="17"/>
  <c r="J4" i="17"/>
  <c r="J5" i="17"/>
  <c r="J6" i="17"/>
  <c r="J7" i="17"/>
  <c r="J8" i="17"/>
  <c r="J9" i="17"/>
  <c r="J10" i="17"/>
  <c r="J11" i="17"/>
  <c r="J12" i="17"/>
  <c r="J13" i="17"/>
  <c r="J2" i="17"/>
  <c r="I3" i="17"/>
  <c r="I4" i="17"/>
  <c r="I5" i="17"/>
  <c r="I6" i="17"/>
  <c r="I7" i="17"/>
  <c r="I8" i="17"/>
  <c r="I9" i="17"/>
  <c r="I10" i="17"/>
  <c r="I11" i="17"/>
  <c r="I12" i="17"/>
  <c r="I13" i="17"/>
  <c r="I2" i="17"/>
  <c r="D17" i="17"/>
  <c r="D16" i="17"/>
  <c r="D15" i="17"/>
  <c r="F15" i="17"/>
  <c r="B15" i="17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2" i="16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2" i="16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2" i="16"/>
  <c r="D3" i="15"/>
  <c r="D4" i="15"/>
  <c r="D5" i="15"/>
  <c r="D6" i="15"/>
  <c r="D7" i="15"/>
  <c r="D8" i="15"/>
  <c r="D9" i="15"/>
  <c r="D10" i="15"/>
  <c r="D11" i="15"/>
  <c r="D2" i="15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2" i="14"/>
  <c r="J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F20" i="14"/>
  <c r="F19" i="14"/>
  <c r="F18" i="14"/>
  <c r="G19" i="14"/>
  <c r="G18" i="14"/>
  <c r="D18" i="14"/>
  <c r="C18" i="14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K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2" i="13"/>
  <c r="E37" i="13"/>
  <c r="E36" i="13"/>
  <c r="E35" i="13"/>
  <c r="E34" i="13"/>
  <c r="E33" i="13"/>
  <c r="D33" i="13"/>
  <c r="C33" i="13"/>
  <c r="K2" i="12"/>
  <c r="L2" i="12" s="1"/>
  <c r="M2" i="12" s="1"/>
  <c r="N2" i="12" s="1"/>
  <c r="K3" i="12"/>
  <c r="L3" i="12" s="1"/>
  <c r="M3" i="12" s="1"/>
  <c r="N3" i="12" s="1"/>
  <c r="K4" i="12"/>
  <c r="L4" i="12" s="1"/>
  <c r="M4" i="12" s="1"/>
  <c r="N4" i="12" s="1"/>
  <c r="K5" i="12"/>
  <c r="L5" i="12" s="1"/>
  <c r="M5" i="12" s="1"/>
  <c r="N5" i="12" s="1"/>
  <c r="J3" i="12"/>
  <c r="J4" i="12"/>
  <c r="J5" i="12"/>
  <c r="J2" i="12"/>
  <c r="I3" i="12"/>
  <c r="I4" i="12"/>
  <c r="I5" i="12"/>
  <c r="I2" i="12"/>
  <c r="A7" i="12"/>
  <c r="B11" i="12"/>
  <c r="E8" i="12"/>
  <c r="D7" i="12"/>
  <c r="B10" i="12"/>
  <c r="B9" i="12"/>
  <c r="B8" i="12"/>
  <c r="B7" i="12"/>
  <c r="G4" i="10"/>
  <c r="J2" i="10"/>
  <c r="I2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4" i="10"/>
  <c r="H3" i="9"/>
  <c r="H2" i="9"/>
  <c r="E3" i="9"/>
  <c r="E2" i="9"/>
  <c r="D3" i="9"/>
  <c r="D2" i="9"/>
  <c r="E3" i="5"/>
  <c r="E4" i="5"/>
  <c r="F3" i="5" a="1"/>
  <c r="F3" i="5"/>
  <c r="F4" i="5" a="1"/>
  <c r="F4" i="5"/>
  <c r="F2" i="5" a="1"/>
  <c r="F2" i="5"/>
  <c r="E2" i="5"/>
  <c r="D3" i="5"/>
  <c r="D4" i="5"/>
  <c r="D2" i="5"/>
  <c r="G3" i="4"/>
  <c r="G4" i="4"/>
  <c r="G2" i="4"/>
  <c r="F3" i="4"/>
  <c r="F4" i="4"/>
  <c r="F2" i="4"/>
  <c r="E3" i="4"/>
  <c r="E4" i="4"/>
  <c r="E2" i="4"/>
  <c r="D3" i="4"/>
  <c r="D4" i="4"/>
  <c r="D2" i="4"/>
  <c r="C4" i="3"/>
  <c r="C5" i="3"/>
  <c r="C6" i="3"/>
  <c r="E3" i="2"/>
  <c r="E4" i="2"/>
  <c r="D3" i="2"/>
  <c r="D4" i="2"/>
  <c r="D2" i="2"/>
  <c r="C5" i="1"/>
  <c r="C6" i="1"/>
  <c r="C7" i="1"/>
  <c r="C4" i="1"/>
  <c r="B9" i="1"/>
  <c r="B10" i="1"/>
  <c r="G11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<sst xmlns="http://schemas.openxmlformats.org/spreadsheetml/2006/main" count="1049" uniqueCount="547">
  <si>
    <t>My Monthly  Expenses</t>
  </si>
  <si>
    <t>Item</t>
  </si>
  <si>
    <t>Cost</t>
  </si>
  <si>
    <t>Priority</t>
  </si>
  <si>
    <t>Rent</t>
  </si>
  <si>
    <t>Groceries</t>
  </si>
  <si>
    <t>Internet</t>
  </si>
  <si>
    <t>Netflix</t>
  </si>
  <si>
    <t>Total Spending</t>
  </si>
  <si>
    <t>Average Cost</t>
  </si>
  <si>
    <t>Emp ID</t>
  </si>
  <si>
    <t>Messy Name</t>
  </si>
  <si>
    <t>Dept Code</t>
  </si>
  <si>
    <t>Clean Name</t>
  </si>
  <si>
    <t>Department Name</t>
  </si>
  <si>
    <t>Code</t>
  </si>
  <si>
    <t>Full Department</t>
  </si>
  <si>
    <t>aThArva g.</t>
  </si>
  <si>
    <t>DEV</t>
  </si>
  <si>
    <t xml:space="preserve">Development </t>
  </si>
  <si>
    <t>Development</t>
  </si>
  <si>
    <t>jOhN d0e</t>
  </si>
  <si>
    <t>HR</t>
  </si>
  <si>
    <t>Human Resources</t>
  </si>
  <si>
    <t>sAra sMith</t>
  </si>
  <si>
    <t>Tax Rate</t>
  </si>
  <si>
    <t>Price</t>
  </si>
  <si>
    <t>Tax Amount</t>
  </si>
  <si>
    <t>Laptop</t>
  </si>
  <si>
    <t>Monitor</t>
  </si>
  <si>
    <t>Keyboard</t>
  </si>
  <si>
    <t>First Name</t>
  </si>
  <si>
    <t>Last Name</t>
  </si>
  <si>
    <t>Company Email</t>
  </si>
  <si>
    <t>Fixed Code</t>
  </si>
  <si>
    <t>Dept Only</t>
  </si>
  <si>
    <t>ID Only</t>
  </si>
  <si>
    <t>Full Name</t>
  </si>
  <si>
    <t xml:space="preserve">Atharva </t>
  </si>
  <si>
    <t>Gotad</t>
  </si>
  <si>
    <t>DEV-101</t>
  </si>
  <si>
    <t>Atharva Gotad</t>
  </si>
  <si>
    <t>John</t>
  </si>
  <si>
    <t>Doe</t>
  </si>
  <si>
    <t>HR-202</t>
  </si>
  <si>
    <t>John Doe</t>
  </si>
  <si>
    <t>Sara</t>
  </si>
  <si>
    <t>Smith</t>
  </si>
  <si>
    <t>DEV-103</t>
  </si>
  <si>
    <t>Sara Smith</t>
  </si>
  <si>
    <t>Developer</t>
  </si>
  <si>
    <t xml:space="preserve">Ticket Closed </t>
  </si>
  <si>
    <t>Attendance</t>
  </si>
  <si>
    <t>Hit Target?</t>
  </si>
  <si>
    <t>Bonus Eligible</t>
  </si>
  <si>
    <t>Performance Tier</t>
  </si>
  <si>
    <t>Atharva</t>
  </si>
  <si>
    <t>Task ID</t>
  </si>
  <si>
    <t>Status</t>
  </si>
  <si>
    <t>Story Points</t>
  </si>
  <si>
    <t>BUG-01</t>
  </si>
  <si>
    <t>In Progress</t>
  </si>
  <si>
    <t>FEAT_02</t>
  </si>
  <si>
    <t>Done</t>
  </si>
  <si>
    <t>SWAT-03</t>
  </si>
  <si>
    <t>Endpoint</t>
  </si>
  <si>
    <t>Status Code</t>
  </si>
  <si>
    <t>Response Time (ms)</t>
  </si>
  <si>
    <t>/users</t>
  </si>
  <si>
    <t>/auth</t>
  </si>
  <si>
    <t>/orders</t>
  </si>
  <si>
    <t>Average of Response Time (ms)</t>
  </si>
  <si>
    <t>Grand Total</t>
  </si>
  <si>
    <t>User ID</t>
  </si>
  <si>
    <t>Messy Email</t>
  </si>
  <si>
    <t>Role Code</t>
  </si>
  <si>
    <t>Clean Email</t>
  </si>
  <si>
    <t>Extract Dept</t>
  </si>
  <si>
    <t>Lookup ID</t>
  </si>
  <si>
    <t xml:space="preserve">Lookup Name </t>
  </si>
  <si>
    <t xml:space="preserve"> aTharva@company.com </t>
  </si>
  <si>
    <t>DEV-99</t>
  </si>
  <si>
    <t xml:space="preserve"> jOhn@company.com</t>
  </si>
  <si>
    <t>HR-55</t>
  </si>
  <si>
    <t>Department</t>
  </si>
  <si>
    <t>Hire Date</t>
  </si>
  <si>
    <t>Email</t>
  </si>
  <si>
    <t>Manager</t>
  </si>
  <si>
    <t>Target Dept</t>
  </si>
  <si>
    <t>Headcount</t>
  </si>
  <si>
    <t>Recent Hires</t>
  </si>
  <si>
    <t>EMP-001</t>
  </si>
  <si>
    <t>Rahul</t>
  </si>
  <si>
    <t>Sharma</t>
  </si>
  <si>
    <t>EMP-002</t>
  </si>
  <si>
    <t>Priya</t>
  </si>
  <si>
    <t>Patel</t>
  </si>
  <si>
    <t>EMP-003</t>
  </si>
  <si>
    <t>Amit</t>
  </si>
  <si>
    <t>Singh</t>
  </si>
  <si>
    <t>QA</t>
  </si>
  <si>
    <t>EMP-004</t>
  </si>
  <si>
    <t>Neha</t>
  </si>
  <si>
    <t>Gupta</t>
  </si>
  <si>
    <t>DESIGN</t>
  </si>
  <si>
    <t>EMP-005</t>
  </si>
  <si>
    <t>Vikram</t>
  </si>
  <si>
    <t>Joshi</t>
  </si>
  <si>
    <t>EMP-006</t>
  </si>
  <si>
    <t>Anjali</t>
  </si>
  <si>
    <t>Desai</t>
  </si>
  <si>
    <t>EMP-007</t>
  </si>
  <si>
    <t>Rohan</t>
  </si>
  <si>
    <t>Mehta</t>
  </si>
  <si>
    <t>EMP-008</t>
  </si>
  <si>
    <t>Pooja</t>
  </si>
  <si>
    <t>Kumar</t>
  </si>
  <si>
    <t>EMP-009</t>
  </si>
  <si>
    <t>Sanjay</t>
  </si>
  <si>
    <t>Verma</t>
  </si>
  <si>
    <t>EMP-010</t>
  </si>
  <si>
    <t>Kavita</t>
  </si>
  <si>
    <t>Nair</t>
  </si>
  <si>
    <t>EMP-011</t>
  </si>
  <si>
    <t>Arjun</t>
  </si>
  <si>
    <t>Reddy</t>
  </si>
  <si>
    <t>EMP-012</t>
  </si>
  <si>
    <t>Sneha</t>
  </si>
  <si>
    <t>Rao</t>
  </si>
  <si>
    <t>EMP-013</t>
  </si>
  <si>
    <t>Karan</t>
  </si>
  <si>
    <t>Das</t>
  </si>
  <si>
    <t>EMP-014</t>
  </si>
  <si>
    <t>Riya</t>
  </si>
  <si>
    <t>Mishra</t>
  </si>
  <si>
    <t>EMP-015</t>
  </si>
  <si>
    <t>Vivek</t>
  </si>
  <si>
    <t>Pandey</t>
  </si>
  <si>
    <t>EMP-016</t>
  </si>
  <si>
    <t>Meera</t>
  </si>
  <si>
    <t>Iyer</t>
  </si>
  <si>
    <t>EMP-017</t>
  </si>
  <si>
    <t>Bose</t>
  </si>
  <si>
    <t>EMP-018</t>
  </si>
  <si>
    <t>Kiran</t>
  </si>
  <si>
    <t>Bhat</t>
  </si>
  <si>
    <t>EMP-019</t>
  </si>
  <si>
    <t>Suresh</t>
  </si>
  <si>
    <t>Menon</t>
  </si>
  <si>
    <t>EMP-020</t>
  </si>
  <si>
    <t>Aarti</t>
  </si>
  <si>
    <t>Jain</t>
  </si>
  <si>
    <t>Dept_Code</t>
  </si>
  <si>
    <t>Manager_Name</t>
  </si>
  <si>
    <t>Sarah Connor</t>
  </si>
  <si>
    <t>Michael Scott</t>
  </si>
  <si>
    <t>Ada Lovelace</t>
  </si>
  <si>
    <t>Bob Ross</t>
  </si>
  <si>
    <t>Employee</t>
  </si>
  <si>
    <t>Sales</t>
  </si>
  <si>
    <t>Target</t>
  </si>
  <si>
    <t>Units</t>
  </si>
  <si>
    <t>Column1</t>
  </si>
  <si>
    <t>Achievement%</t>
  </si>
  <si>
    <t>Revenue</t>
  </si>
  <si>
    <t>Discount Amt</t>
  </si>
  <si>
    <t>Final Revenue</t>
  </si>
  <si>
    <t>Fixed discount rt</t>
  </si>
  <si>
    <t>Total</t>
  </si>
  <si>
    <t>Average</t>
  </si>
  <si>
    <t>Maximum</t>
  </si>
  <si>
    <t>Minimum</t>
  </si>
  <si>
    <t>Count</t>
  </si>
  <si>
    <t>Rep_ID</t>
  </si>
  <si>
    <t>Name</t>
  </si>
  <si>
    <t>Monthly_Target</t>
  </si>
  <si>
    <t>Actual_Sales</t>
  </si>
  <si>
    <t>Units_Sold</t>
  </si>
  <si>
    <t>Comm_Rate</t>
  </si>
  <si>
    <t>Variance</t>
  </si>
  <si>
    <t>Avg  unit Price</t>
  </si>
  <si>
    <t>Comission owed</t>
  </si>
  <si>
    <t>R-001</t>
  </si>
  <si>
    <t>Aarav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</si>
  <si>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</si>
  <si>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</si>
  <si>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</si>
  <si>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</si>
  <si>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</si>
  <si>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</si>
  <si>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</si>
  <si>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</si>
  <si>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</si>
  <si>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</si>
  <si>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</si>
  <si>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</si>
  <si>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</si>
  <si>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</si>
  <si>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</si>
  <si>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</si>
  <si>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</si>
  <si>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</si>
  <si>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</si>
  <si>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</si>
  <si>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Nisha</t>
  </si>
  <si>
    <t>R-022</t>
  </si>
  <si>
    <t>Tarun</t>
  </si>
  <si>
    <t>R-023</t>
  </si>
  <si>
    <t>Sonia</t>
  </si>
  <si>
    <t>R-024</t>
  </si>
  <si>
    <t>Varun</t>
  </si>
  <si>
    <t>R-025</t>
  </si>
  <si>
    <t>Geeta</t>
  </si>
  <si>
    <t>R-026</t>
  </si>
  <si>
    <t>Dev</t>
  </si>
  <si>
    <t>R-027</t>
  </si>
  <si>
    <t>Preeti</t>
  </si>
  <si>
    <t>R-028</t>
  </si>
  <si>
    <t>Manoj</t>
  </si>
  <si>
    <t>R-029</t>
  </si>
  <si>
    <t>Shalini</t>
  </si>
  <si>
    <t>R-030</t>
  </si>
  <si>
    <t>Yash</t>
  </si>
  <si>
    <t>Item_ID</t>
  </si>
  <si>
    <t>Product</t>
  </si>
  <si>
    <t>Stock_Count</t>
  </si>
  <si>
    <t>Reorder_Level</t>
  </si>
  <si>
    <t>Unit_Cost</t>
  </si>
  <si>
    <t>Remainning Sock</t>
  </si>
  <si>
    <t>Revnue Generated</t>
  </si>
  <si>
    <t>Action</t>
  </si>
  <si>
    <t>ITM-01</t>
  </si>
  <si>
    <t>ITM-02</t>
  </si>
  <si>
    <t>Mouse</t>
  </si>
  <si>
    <t>ITM-03</t>
  </si>
  <si>
    <t>ITM-04</t>
  </si>
  <si>
    <t>ITM-05</t>
  </si>
  <si>
    <t>Webcam</t>
  </si>
  <si>
    <t>ITM-06</t>
  </si>
  <si>
    <t>Headset</t>
  </si>
  <si>
    <t>ITM-07</t>
  </si>
  <si>
    <t>Dock</t>
  </si>
  <si>
    <t>ITM-08</t>
  </si>
  <si>
    <t>Cable</t>
  </si>
  <si>
    <t>ITM-09</t>
  </si>
  <si>
    <t>Tablet</t>
  </si>
  <si>
    <t>ITM-10</t>
  </si>
  <si>
    <t>Router</t>
  </si>
  <si>
    <t>ITM-11</t>
  </si>
  <si>
    <t>Switch</t>
  </si>
  <si>
    <t>ITM-12</t>
  </si>
  <si>
    <t>Server</t>
  </si>
  <si>
    <t>ITM-13</t>
  </si>
  <si>
    <t>RAM</t>
  </si>
  <si>
    <t>ITM-14</t>
  </si>
  <si>
    <t>SSD</t>
  </si>
  <si>
    <t>ITM-15</t>
  </si>
  <si>
    <t>GPU</t>
  </si>
  <si>
    <t xml:space="preserve">Student Name </t>
  </si>
  <si>
    <t>Marks</t>
  </si>
  <si>
    <t>Result</t>
  </si>
  <si>
    <t>Count Fail Studdent</t>
  </si>
  <si>
    <t>Rushi</t>
  </si>
  <si>
    <t>Sumit</t>
  </si>
  <si>
    <t>Akhil</t>
  </si>
  <si>
    <t>Aryan</t>
  </si>
  <si>
    <t>Arush</t>
  </si>
  <si>
    <t>Ketan</t>
  </si>
  <si>
    <t>Chetan</t>
  </si>
  <si>
    <t>Sushant</t>
  </si>
  <si>
    <t>Emp_ID</t>
  </si>
  <si>
    <t>Dept</t>
  </si>
  <si>
    <t>Perf_Score</t>
  </si>
  <si>
    <t>Years_Employed</t>
  </si>
  <si>
    <t>Training_Done</t>
  </si>
  <si>
    <t>IF_AND ()</t>
  </si>
  <si>
    <t>IF_OR</t>
  </si>
  <si>
    <t>IF_NOT</t>
  </si>
  <si>
    <t>Nested_if</t>
  </si>
  <si>
    <t>E-001</t>
  </si>
  <si>
    <t>Yes</t>
  </si>
  <si>
    <t>E-002</t>
  </si>
  <si>
    <t>IT</t>
  </si>
  <si>
    <t>E-003</t>
  </si>
  <si>
    <t>No</t>
  </si>
  <si>
    <t>E-004</t>
  </si>
  <si>
    <t>E-005</t>
  </si>
  <si>
    <t>Finance</t>
  </si>
  <si>
    <t>E-006</t>
  </si>
  <si>
    <t>E-007</t>
  </si>
  <si>
    <t>Marketing</t>
  </si>
  <si>
    <t>E-008</t>
  </si>
  <si>
    <t>E-009</t>
  </si>
  <si>
    <t>E-010</t>
  </si>
  <si>
    <t>E-011</t>
  </si>
  <si>
    <t>E-012</t>
  </si>
  <si>
    <t>E-013</t>
  </si>
  <si>
    <t>E-014</t>
  </si>
  <si>
    <t>E-015</t>
  </si>
  <si>
    <t>Cust_ID</t>
  </si>
  <si>
    <t>Plan_Type</t>
  </si>
  <si>
    <t>Monthly_Fee</t>
  </si>
  <si>
    <t>Months_Active</t>
  </si>
  <si>
    <t>Last_Login_Days</t>
  </si>
  <si>
    <t>Discount_Code</t>
  </si>
  <si>
    <t>Total Lifetime Va</t>
  </si>
  <si>
    <t>Annuliaze cost</t>
  </si>
  <si>
    <t>Churn Risk</t>
  </si>
  <si>
    <t>Promo Eligible</t>
  </si>
  <si>
    <t>Loyalty Tier</t>
  </si>
  <si>
    <t>C-001</t>
  </si>
  <si>
    <t>Pro</t>
  </si>
  <si>
    <t>C-002</t>
  </si>
  <si>
    <t>Basic</t>
  </si>
  <si>
    <t>SAVE20</t>
  </si>
  <si>
    <t>C-003</t>
  </si>
  <si>
    <t>Enterprise</t>
  </si>
  <si>
    <t>C-004</t>
  </si>
  <si>
    <t>HALFOFF</t>
  </si>
  <si>
    <t>C-005</t>
  </si>
  <si>
    <t>C-006</t>
  </si>
  <si>
    <t>C-007</t>
  </si>
  <si>
    <t>CORP</t>
  </si>
  <si>
    <t>C-008</t>
  </si>
  <si>
    <t>C-009</t>
  </si>
  <si>
    <t>C-010</t>
  </si>
  <si>
    <t>C-011</t>
  </si>
  <si>
    <t>C-012</t>
  </si>
  <si>
    <t>Location</t>
  </si>
  <si>
    <t>Ticket_Num</t>
  </si>
  <si>
    <t>Issue_Type</t>
  </si>
  <si>
    <t>Pune</t>
  </si>
  <si>
    <t>T-991</t>
  </si>
  <si>
    <t>Login Failure</t>
  </si>
  <si>
    <t>Mumbai</t>
  </si>
  <si>
    <t>T-992</t>
  </si>
  <si>
    <t>Server Down</t>
  </si>
  <si>
    <t>T-993</t>
  </si>
  <si>
    <t>Figma Access</t>
  </si>
  <si>
    <t>Bangalore</t>
  </si>
  <si>
    <t>T-994</t>
  </si>
  <si>
    <t>Test Env Crash</t>
  </si>
  <si>
    <t>T-995</t>
  </si>
  <si>
    <t>Password Reset</t>
  </si>
  <si>
    <t>Salary</t>
  </si>
  <si>
    <t>Post</t>
  </si>
  <si>
    <t>Lookup_data</t>
  </si>
  <si>
    <t>Return Data</t>
  </si>
  <si>
    <t>Lookup_data_sal</t>
  </si>
  <si>
    <t>Return_data</t>
  </si>
  <si>
    <t>xd</t>
  </si>
  <si>
    <t>Senior</t>
  </si>
  <si>
    <t>Fresher</t>
  </si>
  <si>
    <t>Bhakti</t>
  </si>
  <si>
    <t>Piyush</t>
  </si>
  <si>
    <t>Pratik</t>
  </si>
  <si>
    <t>Pranav</t>
  </si>
  <si>
    <t>Experinced</t>
  </si>
  <si>
    <t>Look_up</t>
  </si>
  <si>
    <t>Return</t>
  </si>
  <si>
    <t>Emp_name</t>
  </si>
  <si>
    <t>Soyam</t>
  </si>
  <si>
    <t>Prajwal</t>
  </si>
  <si>
    <t>Suraj</t>
  </si>
  <si>
    <t>Mukesh</t>
  </si>
  <si>
    <t>Sukesh</t>
  </si>
  <si>
    <t>Submitter Name</t>
  </si>
  <si>
    <t>Submitter dept</t>
  </si>
  <si>
    <t>Student_ID</t>
  </si>
  <si>
    <t>Major</t>
  </si>
  <si>
    <t>Campus</t>
  </si>
  <si>
    <t>Exam_Score</t>
  </si>
  <si>
    <t xml:space="preserve">Name </t>
  </si>
  <si>
    <t>S-01</t>
  </si>
  <si>
    <t>Computer Science</t>
  </si>
  <si>
    <t>North</t>
  </si>
  <si>
    <t>S-12</t>
  </si>
  <si>
    <t>S-02</t>
  </si>
  <si>
    <t>South</t>
  </si>
  <si>
    <t>S-45</t>
  </si>
  <si>
    <t>S-03</t>
  </si>
  <si>
    <t>S-04</t>
  </si>
  <si>
    <t>West</t>
  </si>
  <si>
    <t>S-22</t>
  </si>
  <si>
    <t>S-05</t>
  </si>
  <si>
    <t>Data Science</t>
  </si>
  <si>
    <t>S-31</t>
  </si>
  <si>
    <t>S-06</t>
  </si>
  <si>
    <t>East</t>
  </si>
  <si>
    <t>S-18</t>
  </si>
  <si>
    <t>S-07</t>
  </si>
  <si>
    <t>S-08</t>
  </si>
  <si>
    <t>S-49</t>
  </si>
  <si>
    <t>S-09</t>
  </si>
  <si>
    <t>S-10</t>
  </si>
  <si>
    <t>S-15</t>
  </si>
  <si>
    <t>S-11</t>
  </si>
  <si>
    <t>S-29</t>
  </si>
  <si>
    <t>S-38</t>
  </si>
  <si>
    <t>S-13</t>
  </si>
  <si>
    <t>S-14</t>
  </si>
  <si>
    <t>S-41</t>
  </si>
  <si>
    <t>S-26</t>
  </si>
  <si>
    <t>S-16</t>
  </si>
  <si>
    <t>S-17</t>
  </si>
  <si>
    <t>S-34</t>
  </si>
  <si>
    <t>S-19</t>
  </si>
  <si>
    <t>S-20</t>
  </si>
  <si>
    <t>S-47</t>
  </si>
  <si>
    <t>S-21</t>
  </si>
  <si>
    <t>S-24</t>
  </si>
  <si>
    <t>S-36</t>
  </si>
  <si>
    <t>S-23</t>
  </si>
  <si>
    <t>S-25</t>
  </si>
  <si>
    <t>S-50</t>
  </si>
  <si>
    <t>S-27</t>
  </si>
  <si>
    <t>S-44</t>
  </si>
  <si>
    <t>S-28</t>
  </si>
  <si>
    <t>S-33</t>
  </si>
  <si>
    <t>S-30</t>
  </si>
  <si>
    <t>Kriti</t>
  </si>
  <si>
    <t>S-32</t>
  </si>
  <si>
    <t>Vijay</t>
  </si>
  <si>
    <t>Nitin</t>
  </si>
  <si>
    <t>S-40</t>
  </si>
  <si>
    <t>Rekha</t>
  </si>
  <si>
    <t>S-35</t>
  </si>
  <si>
    <t>Ajay</t>
  </si>
  <si>
    <t>Snehal</t>
  </si>
  <si>
    <t>S-37</t>
  </si>
  <si>
    <t>Deepak</t>
  </si>
  <si>
    <t>S-39</t>
  </si>
  <si>
    <t>Priti</t>
  </si>
  <si>
    <t>Anand</t>
  </si>
  <si>
    <t>S-48</t>
  </si>
  <si>
    <t>Jyoti</t>
  </si>
  <si>
    <t>Gaurav</t>
  </si>
  <si>
    <t>S-42</t>
  </si>
  <si>
    <t>Swati</t>
  </si>
  <si>
    <t>S-43</t>
  </si>
  <si>
    <t>Manish</t>
  </si>
  <si>
    <t>Kajal</t>
  </si>
  <si>
    <t>Alok</t>
  </si>
  <si>
    <t>S-46</t>
  </si>
  <si>
    <t>Divya</t>
  </si>
  <si>
    <t>Raj</t>
  </si>
  <si>
    <t>Maya</t>
  </si>
  <si>
    <t>Harish</t>
  </si>
  <si>
    <t>Seema</t>
  </si>
  <si>
    <t>Average of Exam_Score</t>
  </si>
  <si>
    <t>Not Found</t>
  </si>
  <si>
    <t>(blank)</t>
  </si>
  <si>
    <t>Order_ID</t>
  </si>
  <si>
    <t>User_Type</t>
  </si>
  <si>
    <t>Platform</t>
  </si>
  <si>
    <t>Amount</t>
  </si>
  <si>
    <t>Unique Roles</t>
  </si>
  <si>
    <t>ORD-101</t>
  </si>
  <si>
    <t>Member</t>
  </si>
  <si>
    <t>Web</t>
  </si>
  <si>
    <t>Success</t>
  </si>
  <si>
    <t>ORD-102</t>
  </si>
  <si>
    <t>Guest</t>
  </si>
  <si>
    <t>Mobile</t>
  </si>
  <si>
    <t>Failed</t>
  </si>
  <si>
    <t>ORD-103</t>
  </si>
  <si>
    <t>Admin</t>
  </si>
  <si>
    <t>ORD-104</t>
  </si>
  <si>
    <t>ORD-105</t>
  </si>
  <si>
    <t>ORD-106</t>
  </si>
  <si>
    <t>ORD-107</t>
  </si>
  <si>
    <t>Pending</t>
  </si>
  <si>
    <t>ORD-108</t>
  </si>
  <si>
    <t>ORD-109</t>
  </si>
  <si>
    <t>ORD-110</t>
  </si>
  <si>
    <t>ORD-111</t>
  </si>
  <si>
    <t>ORD-112</t>
  </si>
  <si>
    <t>Sum of Amount</t>
  </si>
  <si>
    <t>Role</t>
  </si>
  <si>
    <t>Days_Inactive</t>
  </si>
  <si>
    <t>Access_Level</t>
  </si>
  <si>
    <t>High Risk Accounts</t>
  </si>
  <si>
    <t>E-101</t>
  </si>
  <si>
    <t>Engineering</t>
  </si>
  <si>
    <t>Standard</t>
  </si>
  <si>
    <t>E-102</t>
  </si>
  <si>
    <t>Analyst</t>
  </si>
  <si>
    <t>High</t>
  </si>
  <si>
    <t>E-103</t>
  </si>
  <si>
    <t>E-104</t>
  </si>
  <si>
    <t>Recruiter</t>
  </si>
  <si>
    <t>E-105</t>
  </si>
  <si>
    <t>SysAdmin</t>
  </si>
  <si>
    <t>E-106</t>
  </si>
  <si>
    <t>Director</t>
  </si>
  <si>
    <t>E-107</t>
  </si>
  <si>
    <t>Designer</t>
  </si>
  <si>
    <t>E-108</t>
  </si>
  <si>
    <t>Support</t>
  </si>
  <si>
    <t>E-109</t>
  </si>
  <si>
    <t>E-110</t>
  </si>
  <si>
    <t>Lead_ID</t>
  </si>
  <si>
    <t>Company</t>
  </si>
  <si>
    <t>Deal_Size</t>
  </si>
  <si>
    <t>Win_Chance</t>
  </si>
  <si>
    <t>Open S</t>
  </si>
  <si>
    <t>L-01</t>
  </si>
  <si>
    <t>Apex Corp</t>
  </si>
  <si>
    <t>Open</t>
  </si>
  <si>
    <t>L-02</t>
  </si>
  <si>
    <t>Vertex LLC</t>
  </si>
  <si>
    <t>L-03</t>
  </si>
  <si>
    <t>Omni Inc</t>
  </si>
  <si>
    <t>Won</t>
  </si>
  <si>
    <t>L-04</t>
  </si>
  <si>
    <t>Nexus Co</t>
  </si>
  <si>
    <t>L-05</t>
  </si>
  <si>
    <t>Zenith Ltd</t>
  </si>
  <si>
    <t>L-06</t>
  </si>
  <si>
    <t>Horizon</t>
  </si>
  <si>
    <t>Lost</t>
  </si>
  <si>
    <t>L-07</t>
  </si>
  <si>
    <t>Atlas Corp</t>
  </si>
  <si>
    <t>L-08</t>
  </si>
  <si>
    <t>Orion LLC</t>
  </si>
  <si>
    <t>Bonus Tier</t>
  </si>
  <si>
    <t>Count of Name</t>
  </si>
  <si>
    <t>None</t>
  </si>
  <si>
    <t>Silver</t>
  </si>
  <si>
    <t>Dept_ID</t>
  </si>
  <si>
    <t>Score</t>
  </si>
  <si>
    <t>Training</t>
  </si>
  <si>
    <t>Tenure</t>
  </si>
  <si>
    <t>Dept_Name</t>
  </si>
  <si>
    <t>IF</t>
  </si>
  <si>
    <t>Bonus Eligiblity</t>
  </si>
  <si>
    <t>E-01</t>
  </si>
  <si>
    <t>D-1</t>
  </si>
  <si>
    <t>E-02</t>
  </si>
  <si>
    <t>D-2</t>
  </si>
  <si>
    <t>E-03</t>
  </si>
  <si>
    <t>D-3</t>
  </si>
  <si>
    <t>E-04</t>
  </si>
  <si>
    <t>E-05</t>
  </si>
  <si>
    <t>E-06</t>
  </si>
  <si>
    <t>E-07</t>
  </si>
  <si>
    <t>E-08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</si>
</sst>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_);_(@_)"/>
    <numFmt numFmtId="165" formatCode="_([$$-409]* #,##0.00_);_([$$-409]* \(#,##0.00\);_([$$-409]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/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/>
      <top/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/>
      <top style="thin">
        <color rgb="FFC4C7C5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9" fontId="0" fillId="0" borderId="0" xfId="0" applyNumberFormat="1"/>
    <xf numFmtId="164" fontId="0" fillId="0" borderId="0" xfId="1" applyFont="1"/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0" fontId="0" fillId="2" borderId="0" xfId="0" applyFill="1"/>
    <xf numFmtId="10" fontId="0" fillId="0" borderId="0" xfId="0" applyNumberFormat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0" borderId="13" xfId="0" applyFont="1" applyBorder="1" applyAlignment="1">
      <alignment readingOrder="1"/>
    </xf>
  </cellXfs>
  <cellStyles count="2">
    <cellStyle name="Currency [0]" xfId="1" builtinId="7"/>
    <cellStyle name="Normal" xfId="0" builtinId="0"/>
  </cellStyles>
  <dxfs count="28"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4C7C5"/>
        </left>
        <right/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border outline="0">
        <top style="thin">
          <color rgb="FFC4C7C5"/>
        </top>
      </border>
    </dxf>
    <dxf>
      <border outline="0">
        <bottom style="thin">
          <color rgb="FFC4C7C5"/>
        </bottom>
      </border>
    </dxf>
    <dxf>
      <border outline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4C7C5"/>
        </left>
        <right style="thin">
          <color rgb="FFC4C7C5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color rgb="FFFF0000"/>
      </font>
      <fill>
        <patternFill patternType="solid"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theme" Target="theme/theme1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07/relationships/slicerCache" Target="slicerCaches/slicerCach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38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Sheet1!$A$4:$A$7</c:f>
              <c:strCache>
                <c:ptCount val="4"/>
                <c:pt idx="0">
                  <c:v>Rent</c:v>
                </c:pt>
                <c:pt idx="1">
                  <c:v>Groceries</c:v>
                </c:pt>
                <c:pt idx="2">
                  <c:v>Internet</c:v>
                </c:pt>
                <c:pt idx="3">
                  <c:v>Netflix</c:v>
                </c:pt>
              </c:strCache>
            </c:strRef>
          </c:cat>
          <c:val>
            <c:numRef>
              <c:f>Sheet1!$B$4:$B$7</c:f>
              <c:numCache>
                <c:formatCode>_([$$-409]* #,##0.00_);_([$$-409]* \(#,##0.00\);_([$$-409]* "-"??_);_(@_)</c:formatCode>
                <c:ptCount val="4"/>
                <c:pt idx="0">
                  <c:v>12000</c:v>
                </c:pt>
                <c:pt idx="1">
                  <c:v>4000</c:v>
                </c:pt>
                <c:pt idx="2">
                  <c:v>800</c:v>
                </c:pt>
                <c:pt idx="3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C-4DF9-8F4E-D72697C14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95240"/>
        <c:axId val="2080735751"/>
      </c:lineChart>
      <c:catAx>
        <c:axId val="3689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735751"/>
        <c:crosses val="autoZero"/>
        <c:auto val="1"/>
        <c:lblAlgn val="ctr"/>
        <c:lblOffset val="100"/>
        <c:noMultiLvlLbl val="0"/>
      </c:catAx>
      <c:valAx>
        <c:axId val="2080735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5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1.xlsx]Sheet8!PivotTable3</c:name>
    <c:fmtId val="0"/>
  </c:pivotSource>
  <c:chart>
    <c:title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Sheet8!$A$4:$A$7</c:f>
              <c:strCache>
                <c:ptCount val="3"/>
                <c:pt idx="0">
                  <c:v>/auth</c:v>
                </c:pt>
                <c:pt idx="1">
                  <c:v>/orders</c:v>
                </c:pt>
                <c:pt idx="2">
                  <c:v>/users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67.5</c:v>
                </c:pt>
                <c:pt idx="1">
                  <c:v>210</c:v>
                </c:pt>
                <c:pt idx="2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D-485B-96D2-02EF41761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198856"/>
        <c:axId val="949200904"/>
      </c:lineChart>
      <c:catAx>
        <c:axId val="949198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200904"/>
        <c:crosses val="autoZero"/>
        <c:auto val="1"/>
        <c:lblAlgn val="ctr"/>
        <c:lblOffset val="100"/>
        <c:noMultiLvlLbl val="0"/>
      </c:catAx>
      <c:valAx>
        <c:axId val="94920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198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1.xlsx]Sheet23!PivotTable3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3E-49D7-9190-7EC5CF556D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3E-49D7-9190-7EC5CF556D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3E-49D7-9190-7EC5CF556D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3E-49D7-9190-7EC5CF556D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B3E-49D7-9190-7EC5CF556D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B3E-49D7-9190-7EC5CF556D57}"/>
              </c:ext>
            </c:extLst>
          </c:dPt>
          <c:cat>
            <c:strRef>
              <c:f>Sheet23!$A$4:$A$10</c:f>
              <c:strCache>
                <c:ptCount val="6"/>
                <c:pt idx="0">
                  <c:v>Computer Science</c:v>
                </c:pt>
                <c:pt idx="1">
                  <c:v>Data Science</c:v>
                </c:pt>
                <c:pt idx="2">
                  <c:v>Finance</c:v>
                </c:pt>
                <c:pt idx="3">
                  <c:v>Marketing</c:v>
                </c:pt>
                <c:pt idx="4">
                  <c:v>Not Found</c:v>
                </c:pt>
                <c:pt idx="5">
                  <c:v>(blank)</c:v>
                </c:pt>
              </c:strCache>
            </c:strRef>
          </c:cat>
          <c:val>
            <c:numRef>
              <c:f>Sheet23!$B$4:$B$10</c:f>
              <c:numCache>
                <c:formatCode>General</c:formatCode>
                <c:ptCount val="6"/>
                <c:pt idx="0">
                  <c:v>78.75</c:v>
                </c:pt>
                <c:pt idx="1">
                  <c:v>82.2</c:v>
                </c:pt>
                <c:pt idx="2">
                  <c:v>83.8</c:v>
                </c:pt>
                <c:pt idx="3">
                  <c:v>79.375</c:v>
                </c:pt>
                <c:pt idx="4">
                  <c:v>80.458333333333329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0-428C-8FD7-47FB1163D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8</xdr:row>
      <xdr:rowOff>47625</xdr:rowOff>
    </xdr:from>
    <xdr:to>
      <xdr:col>7</xdr:col>
      <xdr:colOff>428625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3A2EF-51FD-A89D-1217-1A81E32AE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</xdr:row>
      <xdr:rowOff>57150</xdr:rowOff>
    </xdr:from>
    <xdr:to>
      <xdr:col>6</xdr:col>
      <xdr:colOff>333375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9106EA-C8FA-9352-DFF6-C10BA1661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4</xdr:row>
      <xdr:rowOff>142875</xdr:rowOff>
    </xdr:from>
    <xdr:to>
      <xdr:col>9</xdr:col>
      <xdr:colOff>523875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5604E-CBD2-52A3-AD87-7CEFE83D2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381000</xdr:colOff>
      <xdr:row>4</xdr:row>
      <xdr:rowOff>161925</xdr:rowOff>
    </xdr:from>
    <xdr:to>
      <xdr:col>5</xdr:col>
      <xdr:colOff>352425</xdr:colOff>
      <xdr:row>18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tatus">
              <a:extLst>
                <a:ext uri="{FF2B5EF4-FFF2-40B4-BE49-F238E27FC236}">
                  <a16:creationId xmlns:a16="http://schemas.microsoft.com/office/drawing/2014/main" id="{CE26F2D2-09BA-1D8D-84D8-D65DBE6FB571}"/>
                </a:ext>
                <a:ext uri="{147F2762-F138-4A5C-976F-8EAC2B608ADB}">
                  <a16:predDERef xmlns:a16="http://schemas.microsoft.com/office/drawing/2014/main" pred="{50693DEE-0F54-B449-0196-2F4A020DB7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9800" y="923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504825</xdr:colOff>
      <xdr:row>5</xdr:row>
      <xdr:rowOff>9525</xdr:rowOff>
    </xdr:from>
    <xdr:to>
      <xdr:col>8</xdr:col>
      <xdr:colOff>504825</xdr:colOff>
      <xdr:row>18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ment">
              <a:extLst>
                <a:ext uri="{FF2B5EF4-FFF2-40B4-BE49-F238E27FC236}">
                  <a16:creationId xmlns:a16="http://schemas.microsoft.com/office/drawing/2014/main" id="{CBFB4D79-0BC5-4BA2-863A-E302A9BF19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9100" y="962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863037384261" createdVersion="8" refreshedVersion="8" minRefreshableVersion="3" recordCount="9" xr:uid="{2C08BA09-A5F5-45BF-8DAA-B3CD364543E3}">
  <cacheSource type="worksheet">
    <worksheetSource ref="A1:L1048576" sheet="Sheet28"/>
  </cacheSource>
  <cacheFields count="12">
    <cacheField name="Emp_ID" numFmtId="0">
      <sharedItems containsBlank="1"/>
    </cacheField>
    <cacheField name="Name" numFmtId="0">
      <sharedItems containsBlank="1"/>
    </cacheField>
    <cacheField name="Dept_ID" numFmtId="0">
      <sharedItems containsBlank="1"/>
    </cacheField>
    <cacheField name="Score" numFmtId="0">
      <sharedItems containsString="0" containsBlank="1" containsNumber="1" containsInteger="1" minValue="45" maxValue="95"/>
    </cacheField>
    <cacheField name="Training" numFmtId="0">
      <sharedItems containsBlank="1"/>
    </cacheField>
    <cacheField name="Tenure" numFmtId="0">
      <sharedItems containsString="0" containsBlank="1" containsNumber="1" containsInteger="1" minValue="1" maxValue="8"/>
    </cacheField>
    <cacheField name="Department" numFmtId="0">
      <sharedItems containsBlank="1" count="4">
        <s v="Engineering"/>
        <s v="Marketing"/>
        <s v="Finance"/>
        <m/>
      </sharedItems>
    </cacheField>
    <cacheField name="Dept_ID2" numFmtId="0">
      <sharedItems containsBlank="1"/>
    </cacheField>
    <cacheField name="Dept_Name" numFmtId="0">
      <sharedItems containsBlank="1"/>
    </cacheField>
    <cacheField name="IF" numFmtId="0">
      <sharedItems containsBlank="1"/>
    </cacheField>
    <cacheField name="Bonus Eligiblity" numFmtId="0">
      <sharedItems containsBlank="1"/>
    </cacheField>
    <cacheField name="Bonus Tier" numFmtId="0">
      <sharedItems containsBlank="1" count="4">
        <s v="Gold"/>
        <s v="Silver"/>
        <s v="None"/>
        <m/>
      </sharedItems>
    </cacheField>
  </cacheFields>
  <extLst>
    <ext xmlns:x14="http://schemas.microsoft.com/office/spreadsheetml/2009/9/main" uri="{725AE2AE-9491-48be-B2B4-4EB974FC3084}">
      <x14:pivotCacheDefinition pivotCacheId="202280595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863038310184" createdVersion="8" refreshedVersion="8" minRefreshableVersion="3" recordCount="12" xr:uid="{44D96582-1F12-4857-9E84-53409BEDE361}">
  <cacheSource type="worksheet">
    <worksheetSource name="Table20"/>
  </cacheSource>
  <cacheFields count="5">
    <cacheField name="Order_ID" numFmtId="0">
      <sharedItems/>
    </cacheField>
    <cacheField name="User_Type" numFmtId="0">
      <sharedItems/>
    </cacheField>
    <cacheField name="Platform" numFmtId="0">
      <sharedItems count="2">
        <s v="Web"/>
        <s v="Mobile"/>
      </sharedItems>
    </cacheField>
    <cacheField name="Amount" numFmtId="0">
      <sharedItems containsSemiMixedTypes="0" containsString="0" containsNumber="1" containsInteger="1" minValue="15" maxValue="410"/>
    </cacheField>
    <cacheField name="Status" numFmtId="0">
      <sharedItems count="3">
        <s v="Success"/>
        <s v="Failed"/>
        <s v="Pending"/>
      </sharedItems>
    </cacheField>
  </cacheFields>
  <extLst>
    <ext xmlns:x14="http://schemas.microsoft.com/office/spreadsheetml/2009/9/main" uri="{725AE2AE-9491-48be-B2B4-4EB974FC3084}">
      <x14:pivotCacheDefinition pivotCacheId="183727673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863038541669" createdVersion="8" refreshedVersion="8" minRefreshableVersion="3" recordCount="64" xr:uid="{944AE9AD-5C54-4DB5-B469-76FCAB177B89}">
  <cacheSource type="worksheet">
    <worksheetSource ref="F1:J1048576" sheet="Sheet22"/>
  </cacheSource>
  <cacheFields count="5">
    <cacheField name="Student_ID" numFmtId="0">
      <sharedItems containsBlank="1"/>
    </cacheField>
    <cacheField name="Exam_Score" numFmtId="0">
      <sharedItems containsString="0" containsBlank="1" containsNumber="1" containsInteger="1" minValue="58" maxValue="98"/>
    </cacheField>
    <cacheField name="Field3" caption="Field3" numFmtId="0">
      <sharedItems containsNonDate="0" containsString="0" containsBlank="1"/>
    </cacheField>
    <cacheField name="Name " numFmtId="0">
      <sharedItems containsBlank="1"/>
    </cacheField>
    <cacheField name="Major" numFmtId="0">
      <sharedItems containsBlank="1" count="6">
        <s v="Marketing"/>
        <s v="Data Science"/>
        <s v="Computer Science"/>
        <s v="Finance"/>
        <s v="Not Found"/>
        <m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6.863038541669" createdVersion="8" refreshedVersion="8" minRefreshableVersion="3" recordCount="5" xr:uid="{4AC851F1-D23F-4ED3-A1CA-CE71E58FC47C}">
  <cacheSource type="worksheet">
    <worksheetSource ref="A1:C6" sheet="Sheet7"/>
  </cacheSource>
  <cacheFields count="3">
    <cacheField name="Endpoint" numFmtId="0">
      <sharedItems count="3">
        <s v="/users"/>
        <s v="/auth"/>
        <s v="/orders"/>
      </sharedItems>
    </cacheField>
    <cacheField name="Status Code" numFmtId="0">
      <sharedItems containsSemiMixedTypes="0" containsString="0" containsNumber="1" containsInteger="1" minValue="200" maxValue="500"/>
    </cacheField>
    <cacheField name="Response Time (ms)" numFmtId="0">
      <sharedItems containsSemiMixedTypes="0" containsString="0" containsNumber="1" containsInteger="1" minValue="45" maxValue="85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E-01"/>
    <s v="Aarav"/>
    <s v="D-1"/>
    <n v="95"/>
    <s v="Yes"/>
    <n v="2"/>
    <x v="0"/>
    <s v="D-1"/>
    <s v="Engineering"/>
    <s v="Pass"/>
    <s v="Bonus yes"/>
    <x v="0"/>
  </r>
  <r>
    <s v="E-02"/>
    <s v="Priya"/>
    <s v="D-2"/>
    <n v="85"/>
    <s v="No"/>
    <n v="6"/>
    <x v="1"/>
    <s v="D-2"/>
    <s v="Marketing"/>
    <s v="Pass"/>
    <s v="Bonus yes"/>
    <x v="1"/>
  </r>
  <r>
    <s v="E-03"/>
    <s v="Amit"/>
    <s v="D-1"/>
    <n v="45"/>
    <s v="Yes"/>
    <n v="1"/>
    <x v="0"/>
    <s v="D-3"/>
    <s v="Finance"/>
    <s v="Review"/>
    <s v="Bonus yes"/>
    <x v="2"/>
  </r>
  <r>
    <s v="E-04"/>
    <s v="Neha"/>
    <s v="D-3"/>
    <n v="82"/>
    <s v="Yes"/>
    <n v="3"/>
    <x v="2"/>
    <m/>
    <m/>
    <s v="Pass"/>
    <s v="Bonus yes"/>
    <x v="1"/>
  </r>
  <r>
    <s v="E-05"/>
    <s v="Vikram"/>
    <s v="D-2"/>
    <n v="70"/>
    <s v="Yes"/>
    <n v="4"/>
    <x v="1"/>
    <m/>
    <m/>
    <s v="Pass"/>
    <s v="Bonus yes"/>
    <x v="2"/>
  </r>
  <r>
    <s v="E-06"/>
    <s v="Anjali"/>
    <s v="D-3"/>
    <n v="91"/>
    <s v="No"/>
    <n v="8"/>
    <x v="2"/>
    <m/>
    <m/>
    <s v="Pass"/>
    <s v="Bonus yes"/>
    <x v="0"/>
  </r>
  <r>
    <s v="E-07"/>
    <s v="Rohan"/>
    <s v="D-1"/>
    <n v="60"/>
    <s v="No"/>
    <n v="2"/>
    <x v="0"/>
    <m/>
    <m/>
    <s v="Pass"/>
    <s v="Bonus yes"/>
    <x v="2"/>
  </r>
  <r>
    <s v="E-08"/>
    <s v="Kavita"/>
    <s v="D-2"/>
    <n v="88"/>
    <s v="Yes"/>
    <n v="5"/>
    <x v="1"/>
    <m/>
    <m/>
    <s v="Pass"/>
    <s v="Bonus yes"/>
    <x v="1"/>
  </r>
  <r>
    <m/>
    <m/>
    <m/>
    <m/>
    <m/>
    <m/>
    <x v="3"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ORD-101"/>
    <s v="Member"/>
    <x v="0"/>
    <n v="150"/>
    <x v="0"/>
  </r>
  <r>
    <s v="ORD-102"/>
    <s v="Guest"/>
    <x v="1"/>
    <n v="45"/>
    <x v="1"/>
  </r>
  <r>
    <s v="ORD-103"/>
    <s v="Member"/>
    <x v="0"/>
    <n v="220"/>
    <x v="0"/>
  </r>
  <r>
    <s v="ORD-104"/>
    <s v="Member"/>
    <x v="1"/>
    <n v="80"/>
    <x v="0"/>
  </r>
  <r>
    <s v="ORD-105"/>
    <s v="Guest"/>
    <x v="0"/>
    <n v="15"/>
    <x v="1"/>
  </r>
  <r>
    <s v="ORD-106"/>
    <s v="Admin"/>
    <x v="1"/>
    <n v="300"/>
    <x v="0"/>
  </r>
  <r>
    <s v="ORD-107"/>
    <s v="Member"/>
    <x v="0"/>
    <n v="110"/>
    <x v="2"/>
  </r>
  <r>
    <s v="ORD-108"/>
    <s v="Guest"/>
    <x v="1"/>
    <n v="60"/>
    <x v="0"/>
  </r>
  <r>
    <s v="ORD-109"/>
    <s v="Member"/>
    <x v="0"/>
    <n v="95"/>
    <x v="1"/>
  </r>
  <r>
    <s v="ORD-110"/>
    <s v="Admin"/>
    <x v="0"/>
    <n v="410"/>
    <x v="0"/>
  </r>
  <r>
    <s v="ORD-111"/>
    <s v="Guest"/>
    <x v="1"/>
    <n v="25"/>
    <x v="2"/>
  </r>
  <r>
    <s v="ORD-112"/>
    <s v="Member"/>
    <x v="1"/>
    <n v="13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S-12"/>
    <n v="88"/>
    <m/>
    <s v="Sneha"/>
    <x v="0"/>
  </r>
  <r>
    <s v="S-45"/>
    <n v="92"/>
    <m/>
    <s v="Alok"/>
    <x v="1"/>
  </r>
  <r>
    <s v="S-03"/>
    <n v="75"/>
    <m/>
    <s v="Amit"/>
    <x v="0"/>
  </r>
  <r>
    <s v="S-22"/>
    <n v="65"/>
    <m/>
    <s v="Tarun"/>
    <x v="2"/>
  </r>
  <r>
    <s v="S-31"/>
    <n v="95"/>
    <m/>
    <s v="Kriti"/>
    <x v="3"/>
  </r>
  <r>
    <s v="S-18"/>
    <n v="82"/>
    <m/>
    <s v="Kiran"/>
    <x v="2"/>
  </r>
  <r>
    <s v="S-07"/>
    <n v="58"/>
    <m/>
    <s v="Rohan"/>
    <x v="0"/>
  </r>
  <r>
    <s v="S-49"/>
    <n v="79"/>
    <m/>
    <s v="Harish"/>
    <x v="1"/>
  </r>
  <r>
    <s v="S-01"/>
    <n v="91"/>
    <m/>
    <s v="Aarav"/>
    <x v="4"/>
  </r>
  <r>
    <s v="S-15"/>
    <n v="68"/>
    <m/>
    <s v="Vivek"/>
    <x v="3"/>
  </r>
  <r>
    <s v="S-29"/>
    <n v="85"/>
    <m/>
    <s v="Shalini"/>
    <x v="1"/>
  </r>
  <r>
    <s v="S-38"/>
    <n v="72"/>
    <m/>
    <s v="Priti"/>
    <x v="2"/>
  </r>
  <r>
    <s v="S-05"/>
    <n v="97"/>
    <m/>
    <s v="Vikram"/>
    <x v="4"/>
  </r>
  <r>
    <s v="S-41"/>
    <n v="81"/>
    <m/>
    <s v="Gaurav"/>
    <x v="1"/>
  </r>
  <r>
    <s v="S-26"/>
    <n v="63"/>
    <m/>
    <s v="Dev"/>
    <x v="2"/>
  </r>
  <r>
    <s v="S-10"/>
    <n v="89"/>
    <m/>
    <s v="Kavita"/>
    <x v="4"/>
  </r>
  <r>
    <s v="S-34"/>
    <n v="76"/>
    <m/>
    <s v="Rekha"/>
    <x v="2"/>
  </r>
  <r>
    <s v="S-19"/>
    <n v="94"/>
    <m/>
    <s v="Suresh"/>
    <x v="3"/>
  </r>
  <r>
    <s v="S-09"/>
    <n v="84"/>
    <m/>
    <s v="Sanjay"/>
    <x v="4"/>
  </r>
  <r>
    <s v="S-47"/>
    <n v="71"/>
    <m/>
    <s v="Raj"/>
    <x v="3"/>
  </r>
  <r>
    <s v="S-24"/>
    <n v="60"/>
    <m/>
    <s v="Varun"/>
    <x v="0"/>
  </r>
  <r>
    <s v="S-36"/>
    <n v="88"/>
    <m/>
    <s v="Snehal"/>
    <x v="0"/>
  </r>
  <r>
    <s v="S-14"/>
    <n v="93"/>
    <m/>
    <s v="Riya"/>
    <x v="4"/>
  </r>
  <r>
    <s v="S-02"/>
    <n v="77"/>
    <m/>
    <s v="Priya"/>
    <x v="4"/>
  </r>
  <r>
    <s v="S-50"/>
    <n v="86"/>
    <m/>
    <s v="Seema"/>
    <x v="2"/>
  </r>
  <r>
    <s v="S-21"/>
    <n v="69"/>
    <m/>
    <s v="Nisha"/>
    <x v="4"/>
  </r>
  <r>
    <s v="S-44"/>
    <n v="90"/>
    <m/>
    <s v="Kajal"/>
    <x v="0"/>
  </r>
  <r>
    <s v="S-08"/>
    <n v="83"/>
    <m/>
    <s v="Pooja"/>
    <x v="4"/>
  </r>
  <r>
    <s v="S-33"/>
    <n v="74"/>
    <m/>
    <s v="Nitin"/>
    <x v="1"/>
  </r>
  <r>
    <s v="S-17"/>
    <n v="96"/>
    <m/>
    <s v="Rahul"/>
    <x v="4"/>
  </r>
  <r>
    <s v="S-28"/>
    <n v="67"/>
    <m/>
    <s v="Manoj"/>
    <x v="4"/>
  </r>
  <r>
    <s v="S-11"/>
    <n v="80"/>
    <m/>
    <s v="Arjun"/>
    <x v="4"/>
  </r>
  <r>
    <s v="S-40"/>
    <n v="98"/>
    <m/>
    <s v="Jyoti"/>
    <x v="0"/>
  </r>
  <r>
    <s v="S-04"/>
    <n v="73"/>
    <m/>
    <s v="Neha"/>
    <x v="4"/>
  </r>
  <r>
    <s v="S-25"/>
    <n v="87"/>
    <m/>
    <s v="Geeta"/>
    <x v="4"/>
  </r>
  <r>
    <s v="S-16"/>
    <n v="62"/>
    <m/>
    <s v="Meera"/>
    <x v="4"/>
  </r>
  <r>
    <s v="S-39"/>
    <n v="91"/>
    <m/>
    <s v="Anand"/>
    <x v="3"/>
  </r>
  <r>
    <s v="S-06"/>
    <n v="85"/>
    <m/>
    <s v="Anjali"/>
    <x v="4"/>
  </r>
  <r>
    <s v="S-48"/>
    <n v="78"/>
    <m/>
    <s v="Maya"/>
    <x v="0"/>
  </r>
  <r>
    <s v="S-20"/>
    <n v="66"/>
    <m/>
    <s v="Aarti"/>
    <x v="4"/>
  </r>
  <r>
    <s v="S-42"/>
    <n v="92"/>
    <m/>
    <s v="Swati"/>
    <x v="2"/>
  </r>
  <r>
    <s v="S-13"/>
    <n v="81"/>
    <m/>
    <s v="Karan"/>
    <x v="4"/>
  </r>
  <r>
    <s v="S-30"/>
    <n v="75"/>
    <m/>
    <s v="Yash"/>
    <x v="4"/>
  </r>
  <r>
    <s v="S-35"/>
    <n v="89"/>
    <m/>
    <s v="Ajay"/>
    <x v="4"/>
  </r>
  <r>
    <s v="S-27"/>
    <n v="64"/>
    <m/>
    <s v="Preeti"/>
    <x v="4"/>
  </r>
  <r>
    <s v="S-46"/>
    <n v="94"/>
    <m/>
    <s v="Divya"/>
    <x v="2"/>
  </r>
  <r>
    <s v="S-23"/>
    <n v="70"/>
    <m/>
    <s v="Sonia"/>
    <x v="4"/>
  </r>
  <r>
    <s v="S-32"/>
    <n v="82"/>
    <m/>
    <s v="Vijay"/>
    <x v="4"/>
  </r>
  <r>
    <s v="S-37"/>
    <n v="76"/>
    <m/>
    <s v="Deepak"/>
    <x v="4"/>
  </r>
  <r>
    <s v="S-43"/>
    <n v="95"/>
    <m/>
    <s v="Manish"/>
    <x v="4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  <r>
    <m/>
    <m/>
    <m/>
    <m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00"/>
    <n v="120"/>
  </r>
  <r>
    <x v="0"/>
    <n v="500"/>
    <n v="850"/>
  </r>
  <r>
    <x v="1"/>
    <n v="200"/>
    <n v="90"/>
  </r>
  <r>
    <x v="1"/>
    <n v="401"/>
    <n v="45"/>
  </r>
  <r>
    <x v="2"/>
    <n v="200"/>
    <n v="2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7C35A-0177-4FE7-B15B-FE299DCBC28C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3"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ponse Time (ms)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C7DAF-4F78-449D-909F-63BD07583536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5"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">
        <item x="2"/>
        <item x="1"/>
        <item x="3"/>
        <item x="0"/>
        <item x="4"/>
        <item x="5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am_Score" fld="1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CABFC-8658-4C7E-8850-AA5A77BA37FA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5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>
      <items count="4">
        <item x="1"/>
        <item h="1" x="2"/>
        <item h="1"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mount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6220F-A0C5-471D-B81E-3FE69A6598E8}" name="PivotTable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1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h="1" x="0"/>
        <item h="1" x="2"/>
        <item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</pivotFields>
  <rowFields count="1">
    <field x="11"/>
  </rowFields>
  <rowItems count="3">
    <i>
      <x v="1"/>
    </i>
    <i>
      <x v="2"/>
    </i>
    <i t="grand">
      <x/>
    </i>
  </rowItems>
  <colItems count="1">
    <i/>
  </colItems>
  <dataFields count="1">
    <dataField name="Count of Name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us" xr10:uid="{8B7B22FB-4207-44C1-9296-B440321EA23F}" sourceName="Status">
  <pivotTables>
    <pivotTable tabId="25" name="PivotTable2"/>
  </pivotTables>
  <data>
    <tabular pivotCacheId="1837276738">
      <items count="3">
        <i x="1" s="1"/>
        <i x="2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48E2AD8E-2BBE-4F09-AE9D-48E9DA8F67C1}" sourceName="Department">
  <pivotTables>
    <pivotTable tabId="29" name="PivotTable2"/>
  </pivotTables>
  <data>
    <tabular pivotCacheId="2022805958">
      <items count="4">
        <i x="0"/>
        <i x="2"/>
        <i x="1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2546EC62-9DBB-4D08-BD39-17899650F891}" cache="Slicer_Status" caption="Statu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3705FA02-0AE7-4CE6-BF94-0140A524EFAE}" cache="Slicer_Department" caption="Department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C272F-7DC6-445C-BD0C-832FA042804B}" name="Table1" displayName="Table1" ref="A1:G3" totalsRowCount="1">
  <autoFilter ref="A1:G2" xr:uid="{97CC272F-7DC6-445C-BD0C-832FA042804B}"/>
  <sortState xmlns:xlrd2="http://schemas.microsoft.com/office/spreadsheetml/2017/richdata2" ref="A2:F2">
    <sortCondition ref="C1:C2"/>
  </sortState>
  <tableColumns count="7">
    <tableColumn id="1" xr3:uid="{0A6CB9AA-DB05-4198-8A38-9D1DE9298DFB}" name="Emp ID"/>
    <tableColumn id="2" xr3:uid="{31B14B9B-205F-49B5-B71F-C15EA0BCD6D8}" name="First Name"/>
    <tableColumn id="3" xr3:uid="{2637FD84-4C83-4439-BAD7-F0BDB4B43FCF}" name="Last Name"/>
    <tableColumn id="4" xr3:uid="{7F773BDC-30C4-4E43-8161-3E1ABE8831A7}" name="Department"/>
    <tableColumn id="5" xr3:uid="{FE8D3DC3-F197-47CE-B15B-7B957081F11F}" name="Hire Date"/>
    <tableColumn id="6" xr3:uid="{25F025CB-7BE2-40D8-9742-2645242E07AF}" name="Email"/>
    <tableColumn id="7" xr3:uid="{8C1E640E-9144-4B90-800B-7A4E92CA64DF}" name="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2BB62F-AA05-44ED-9DBC-FC8877BEAE16}" name="Departments" displayName="Departments" ref="A1:B5" totalsRowShown="0">
  <autoFilter ref="A1:B5" xr:uid="{A52BB62F-AA05-44ED-9DBC-FC8877BEAE16}"/>
  <tableColumns count="2">
    <tableColumn id="1" xr3:uid="{5E30BA56-08A3-478F-B5A2-A0B76DE290D2}" name="Dept_Code"/>
    <tableColumn id="2" xr3:uid="{E4381C9F-BD14-4952-9ADA-5B5678AEC981}" name="Manager_Nam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71505E-1E19-4EED-B8A3-BC081F804A6D}" name="Table3" displayName="Table3" ref="A1:F11" totalsRowShown="0">
  <autoFilter ref="A1:F11" xr:uid="{D771505E-1E19-4EED-B8A3-BC081F804A6D}"/>
  <tableColumns count="6">
    <tableColumn id="1" xr3:uid="{03307DE3-FC27-48B6-A326-12F1823336F1}" name="Employee"/>
    <tableColumn id="2" xr3:uid="{882449B7-091B-461D-988F-D8F0595AD3E2}" name="Sales"/>
    <tableColumn id="3" xr3:uid="{A051F1CB-21A4-47CD-BF53-E8EFB651B8D5}" name="Target"/>
    <tableColumn id="4" xr3:uid="{8E108BF3-ADA9-4486-96A0-D7C56F824423}" name="Units"/>
    <tableColumn id="5" xr3:uid="{121BC7FA-306E-44FA-AAE2-97B77132BB5F}" name="Price"/>
    <tableColumn id="6" xr3:uid="{BFEEE382-D3B4-47DD-A8A3-7F0C75B221E4}" name="Column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C329AF-1089-4B33-AE9E-741AC74FDE6E}" name="Table4" displayName="Table4" ref="I1:N5" totalsRowShown="0">
  <autoFilter ref="I1:N5" xr:uid="{C4C329AF-1089-4B33-AE9E-741AC74FDE6E}"/>
  <tableColumns count="6">
    <tableColumn id="1" xr3:uid="{93BCAD1E-D896-4CA4-ACC9-74C5416257ED}" name="Status">
      <calculatedColumnFormula>IF(Table3[[#This Row],[Sales]]&gt;=Table3[[#This Row],[Target]],"Target met","Below Target")</calculatedColumnFormula>
    </tableColumn>
    <tableColumn id="2" xr3:uid="{40F72147-8725-4C38-B2DE-5790B445EA59}" name="Achievement%">
      <calculatedColumnFormula>B2/C2</calculatedColumnFormula>
    </tableColumn>
    <tableColumn id="3" xr3:uid="{F1A13295-5284-431E-9B15-A2B2BBCF7644}" name="Revenue" dataDxfId="26">
      <calculatedColumnFormula>D2*E2</calculatedColumnFormula>
    </tableColumn>
    <tableColumn id="4" xr3:uid="{355E66FD-F4BC-4D26-BCCC-6F632A43BE38}" name="Discount Amt" dataDxfId="25">
      <calculatedColumnFormula>Table4[[#This Row],[Revenue]]*2%</calculatedColumnFormula>
    </tableColumn>
    <tableColumn id="5" xr3:uid="{E553D8A3-6E2E-470F-93C8-5DF89A219AC5}" name="Final Revenue" dataDxfId="24">
      <calculatedColumnFormula>Table4[[#This Row],[Revenue]]-Table4[[#This Row],[Discount Amt]]</calculatedColumnFormula>
    </tableColumn>
    <tableColumn id="6" xr3:uid="{561A5CCD-EB61-405E-B95D-F15A71D97732}" name="Fixed discount rt" dataDxfId="23">
      <calculatedColumnFormula>M2*$L$2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1DD9D5-0DF5-4871-9EC8-DA21F449223E}" name="Table5" displayName="Table5" ref="B1:G31" totalsRowShown="0">
  <autoFilter ref="B1:G31" xr:uid="{791DD9D5-0DF5-4871-9EC8-DA21F449223E}"/>
  <tableColumns count="6">
    <tableColumn id="1" xr3:uid="{29F6D58A-A0F1-4178-81C9-02B2B5844566}" name="Rep_ID"/>
    <tableColumn id="2" xr3:uid="{599EE0CB-32FA-45F7-8511-19D47E52C15F}" name="Name"/>
    <tableColumn id="3" xr3:uid="{8A7A519A-0403-41A9-8889-941494F10181}" name="Monthly_Target"/>
    <tableColumn id="4" xr3:uid="{E5EA20AB-0A52-4601-970D-03ADF17DBD6F}" name="Actual_Sales"/>
    <tableColumn id="5" xr3:uid="{76C4620B-548D-49EF-B783-143A2B11B73F}" name="Units_Sold"/>
    <tableColumn id="6" xr3:uid="{E3F99851-481F-4309-A2C5-EB44FC6C1E6D}" name="Comm_Rate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CA7575-72E9-4628-9EFF-A0047121F2A0}" name="Table6" displayName="Table6" ref="I1:L31" totalsRowShown="0">
  <autoFilter ref="I1:L31" xr:uid="{DBCA7575-72E9-4628-9EFF-A0047121F2A0}"/>
  <tableColumns count="4">
    <tableColumn id="1" xr3:uid="{E9BF8806-726E-4D2C-AAA2-654A9D0BA839}" name="Variance">
      <calculatedColumnFormula>E2-D2</calculatedColumnFormula>
    </tableColumn>
    <tableColumn id="2" xr3:uid="{3FC99E73-69DC-4F70-8B1A-422C0F0BA65A}" name="Avg  unit Price" dataDxfId="22">
      <calculatedColumnFormula>E2/F2</calculatedColumnFormula>
    </tableColumn>
    <tableColumn id="3" xr3:uid="{62859AAF-E3B0-4ABC-9CE2-F89FABDB5EDB}" name="Comission owed" dataDxfId="21">
      <calculatedColumnFormula>E2*G2</calculatedColumnFormula>
    </tableColumn>
    <tableColumn id="4" xr3:uid="{F979BA2C-62C9-4E29-B5E8-49CCFECB16BA}" name="Status" dataDxfId="20">
      <calculatedColumnFormula>IF(E2&gt;=D2,"Pass","Fail")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A075E1-60A7-42D1-B614-1CEAEC9317BB}" name="Table7" displayName="Table7" ref="B1:G16" totalsRowShown="0">
  <autoFilter ref="B1:G16" xr:uid="{00A075E1-60A7-42D1-B614-1CEAEC9317BB}"/>
  <tableColumns count="6">
    <tableColumn id="1" xr3:uid="{C8E2288B-3748-49AB-B883-1A31524F2239}" name="Item_ID"/>
    <tableColumn id="2" xr3:uid="{79D01BC3-5DA3-473C-B658-52FA68BB0544}" name="Product"/>
    <tableColumn id="3" xr3:uid="{E30E9081-13FA-446E-AD69-6B6DFF699C1C}" name="Stock_Count"/>
    <tableColumn id="4" xr3:uid="{FF5DFCA8-492C-4AA3-8EB2-E4A80D45D6FD}" name="Reorder_Level"/>
    <tableColumn id="5" xr3:uid="{5C8B00EA-83CF-4DC1-982D-F53E542FEBC5}" name="Unit_Cost"/>
    <tableColumn id="6" xr3:uid="{0FBB9E59-51C9-483E-8847-01E5F710BE5A}" name="Units_Sold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B37E3D-E5B9-4DC3-9CC7-85A66849340F}" name="Table8" displayName="Table8" ref="I1:J16" totalsRowShown="0">
  <autoFilter ref="I1:J16" xr:uid="{EAB37E3D-E5B9-4DC3-9CC7-85A66849340F}"/>
  <tableColumns count="2">
    <tableColumn id="1" xr3:uid="{DB6DFE9F-B85B-4BE9-9E03-0E5A7351C7E0}" name="Remainning Sock" dataDxfId="18">
      <calculatedColumnFormula>G2-D2</calculatedColumnFormula>
    </tableColumn>
    <tableColumn id="2" xr3:uid="{899ABC37-2409-4F99-A70C-355587D7C29D}" name="Revnue Generated" dataDxfId="17">
      <calculatedColumnFormula>G2*F2</calculatedColumnFormula>
    </tableColumn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5B6028-D5C1-4503-B789-19E8EEB06B9C}" name="Table9" displayName="Table9" ref="K1:K16" totalsRowShown="0">
  <autoFilter ref="K1:K16" xr:uid="{725B6028-D5C1-4503-B789-19E8EEB06B9C}"/>
  <tableColumns count="1">
    <tableColumn id="1" xr3:uid="{5A3B6429-1A66-48F5-B8EF-CE62DB8B7437}" name="Action" dataDxfId="16">
      <calculatedColumnFormula>IF(D2&lt;=E2,"Order","Skip")</calculatedColumnFormula>
    </tableColumn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46262C0-24A3-4140-82DB-65FA4E5A96E1}" name="Table10" displayName="Table10" ref="B1:G13" totalsRowShown="0">
  <autoFilter ref="B1:G13" xr:uid="{246262C0-24A3-4140-82DB-65FA4E5A96E1}"/>
  <tableColumns count="6">
    <tableColumn id="1" xr3:uid="{F945730E-C682-4BB1-A895-A59D4F60BF42}" name="Cust_ID"/>
    <tableColumn id="2" xr3:uid="{DE4CAB35-49F5-4C79-8830-70F60AF9546F}" name="Plan_Type"/>
    <tableColumn id="3" xr3:uid="{5DE35B8C-7C2C-4F40-A39B-D493CAD069D0}" name="Monthly_Fee"/>
    <tableColumn id="4" xr3:uid="{95EE0D0D-1F57-48E0-8591-B1E43879FF1E}" name="Months_Active"/>
    <tableColumn id="5" xr3:uid="{8FF2A557-EBF2-4DA5-820D-29F23324E97B}" name="Last_Login_Days"/>
    <tableColumn id="6" xr3:uid="{B231E970-9792-4841-9AD7-7AF71CC0CE69}" name="Discount_Code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88CE9F-71C3-4E64-9004-E6B976A51992}" name="Table11" displayName="Table11" ref="A1:D6" totalsRowShown="0">
  <autoFilter ref="A1:D6" xr:uid="{8488CE9F-71C3-4E64-9004-E6B976A51992}"/>
  <tableColumns count="4">
    <tableColumn id="1" xr3:uid="{AF38DA8A-D775-45FD-8F1F-21441644C311}" name="Emp_ID"/>
    <tableColumn id="2" xr3:uid="{C989E0DB-7774-4F3A-B2A0-E82F8DA9AE8E}" name="Name"/>
    <tableColumn id="3" xr3:uid="{8326C925-9378-43DD-80A0-EF298CC4C606}" name="Department"/>
    <tableColumn id="4" xr3:uid="{415DF72F-01A1-4BB7-A9FE-E5315589E4A8}" name="Locatio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AD110D-FB4F-4711-A2DF-445D4BC606EC}" name="Table12" displayName="Table12" ref="F1:H6" totalsRowShown="0">
  <autoFilter ref="F1:H6" xr:uid="{F7AD110D-FB4F-4711-A2DF-445D4BC606EC}"/>
  <tableColumns count="3">
    <tableColumn id="1" xr3:uid="{433A4780-844D-4082-8E01-2E53CD258133}" name="Ticket_Num"/>
    <tableColumn id="2" xr3:uid="{33FDAD3B-2BF0-4A27-9C04-AF647F2B9A89}" name="Emp_ID"/>
    <tableColumn id="3" xr3:uid="{233D92B0-991B-4669-8180-FF24500C8E87}" name="Issue_Type"/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39D0DD3-ECC7-4BCB-BC71-C73AC5D7A69A}" name="Table13" displayName="Table13" ref="A1:E11" totalsRowShown="0">
  <autoFilter ref="A1:E11" xr:uid="{239D0DD3-ECC7-4BCB-BC71-C73AC5D7A69A}"/>
  <tableColumns count="5">
    <tableColumn id="1" xr3:uid="{671D8133-4DB7-49C4-A6C5-8E2C38C639AD}" name="Emp_ID"/>
    <tableColumn id="2" xr3:uid="{F433A3C1-6194-4BD5-AAB0-797F8C53404C}" name="Name"/>
    <tableColumn id="3" xr3:uid="{438C9E0B-F0C3-49DA-A9F3-DC87859709C2}" name="Dept"/>
    <tableColumn id="4" xr3:uid="{5964556F-CE30-467C-B83F-6303098F50C7}" name="Salary"/>
    <tableColumn id="5" xr3:uid="{170ECB78-237D-4757-9AA7-5BDA40D17756}" name="Post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24AE71-188E-44C6-B523-CF441A5C0DE8}" name="Table14" displayName="Table14" ref="G1:H5" totalsRowShown="0">
  <autoFilter ref="G1:H5" xr:uid="{1524AE71-188E-44C6-B523-CF441A5C0DE8}"/>
  <tableColumns count="2">
    <tableColumn id="1" xr3:uid="{2270599A-9DF0-42E1-9369-764655990646}" name="Lookup_data"/>
    <tableColumn id="2" xr3:uid="{9300B83F-A77B-4F52-A1D3-8B9ACB20BE0B}" name="Return Data" dataDxfId="15">
      <calculatedColumnFormula>VLOOKUP(Table14[[#This Row],[Lookup_data]],Table13[#All],2,FALSE)</calculatedColumnFormula>
    </tableColumn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C856983-A166-458E-9163-1018903E0583}" name="Table15" displayName="Table15" ref="J1:K12" totalsRowShown="0">
  <autoFilter ref="J1:K12" xr:uid="{8C856983-A166-458E-9163-1018903E0583}"/>
  <tableColumns count="2">
    <tableColumn id="1" xr3:uid="{7BA29444-4F3C-47D0-93B0-228702095367}" name="Lookup_data_sal"/>
    <tableColumn id="2" xr3:uid="{B67E067C-7917-4C79-8DBF-740AA00E91E2}" name="Return_data" dataDxfId="14">
      <calculatedColumnFormula>VLOOKUP(Table15[[#This Row],[Lookup_data_sal]],Table13[[#All],[Name]:[Post]],3,FALSE)</calculatedColumnFormula>
    </tableColumn>
  </tableColumns>
  <tableStyleInfo name="TableStyleLight1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67E596C-5267-47D9-A3B2-F0A1BC9FA879}" name="Table17" displayName="Table17" ref="K1:L4" totalsRowShown="0">
  <autoFilter ref="K1:L4" xr:uid="{F67E596C-5267-47D9-A3B2-F0A1BC9FA879}"/>
  <tableColumns count="2">
    <tableColumn id="1" xr3:uid="{0567E838-3242-4182-9E2C-430BD1BDCF90}" name="Look_up"/>
    <tableColumn id="2" xr3:uid="{8E14054D-9BB5-4D69-B51A-8E45643EDDA5}" name="Return" dataDxfId="13">
      <calculatedColumnFormula>HLOOKUP(Table17[[#This Row],[Look_up]],A1:I5,3,FALSE)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83CA4C6-C76B-4C79-921C-547ABA84829B}" name="Table16" displayName="Table16" ref="A1:D6" totalsRowShown="0">
  <autoFilter ref="A1:D6" xr:uid="{A83CA4C6-C76B-4C79-921C-547ABA84829B}"/>
  <tableColumns count="4">
    <tableColumn id="1" xr3:uid="{A5052B8E-FF5A-4304-AA67-E05764C6AB66}" name="Emp_ID"/>
    <tableColumn id="2" xr3:uid="{99E9D9CF-379C-4073-A84F-A65E7123B95F}" name="Name"/>
    <tableColumn id="3" xr3:uid="{52324E84-3E8D-43EA-AD8E-DD9D3729B3FA}" name="Department"/>
    <tableColumn id="4" xr3:uid="{A9F40A4A-4632-47BF-B933-D9A00CEDCB34}" name="Location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EFBE89F-B28B-4B87-BC05-6617DC677D92}" name="Table18" displayName="Table18" ref="F1:H6" totalsRowShown="0">
  <autoFilter ref="F1:H6" xr:uid="{5EFBE89F-B28B-4B87-BC05-6617DC677D92}"/>
  <tableColumns count="3">
    <tableColumn id="1" xr3:uid="{95A26AD3-6521-4223-BDE1-87A73CB82318}" name="Ticket_Num"/>
    <tableColumn id="2" xr3:uid="{CE038BEE-499F-4E6C-B3AC-E626328BDB6A}" name="Emp_ID"/>
    <tableColumn id="3" xr3:uid="{48BE33E8-834A-4BA5-A467-1D8317B1D8C3}" name="Issue_Type"/>
  </tableColumns>
  <tableStyleInfo name="TableStyleLight1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5BA858A-8086-45F2-9A27-1147A32FEB35}" name="Table19" displayName="Table19" ref="A1:D51" totalsRowShown="0">
  <autoFilter ref="A1:D51" xr:uid="{65BA858A-8086-45F2-9A27-1147A32FEB35}"/>
  <tableColumns count="4">
    <tableColumn id="1" xr3:uid="{4205AAF9-7B00-45A4-B503-A428125F1CFB}" name="Student_ID"/>
    <tableColumn id="2" xr3:uid="{51AB59D8-A39B-416B-95E7-FB5AC363FFD2}" name="Name"/>
    <tableColumn id="3" xr3:uid="{CA03F41F-4208-4895-A653-E48D7F9B4D52}" name="Major"/>
    <tableColumn id="4" xr3:uid="{E83963FC-EDEF-4F4C-AB7F-8182409CA5F2}" name="Campus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B6AE7BF-D70F-430F-851B-9149CC111530}" name="Table21" displayName="Table21" ref="F1:G51" totalsRowShown="0">
  <autoFilter ref="F1:G51" xr:uid="{7B6AE7BF-D70F-430F-851B-9149CC111530}"/>
  <tableColumns count="2">
    <tableColumn id="1" xr3:uid="{3B51C2F9-57A8-4284-85CC-5802DBF1F06C}" name="Student_ID"/>
    <tableColumn id="2" xr3:uid="{5FDA75D7-9A02-4AF0-B48F-F71EB606CE28}" name="Exam_Score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F40A73F-0A41-4EA9-977C-BDCA333E58A7}" name="Table20" displayName="Table20" ref="A1:E13" totalsRowShown="0">
  <autoFilter ref="A1:E13" xr:uid="{1F40A73F-0A41-4EA9-977C-BDCA333E58A7}"/>
  <tableColumns count="5">
    <tableColumn id="1" xr3:uid="{E7668240-621A-4CB0-9F00-9318B0A6AE69}" name="Order_ID"/>
    <tableColumn id="2" xr3:uid="{768FF309-BD05-4BB8-B775-A8026C41B5E1}" name="User_Type"/>
    <tableColumn id="3" xr3:uid="{73D6B5DE-1101-4FB9-8790-5A5D278385BE}" name="Platform"/>
    <tableColumn id="4" xr3:uid="{04D15234-CF6E-43AB-8D17-87371FC725C6}" name="Amount"/>
    <tableColumn id="5" xr3:uid="{2B78277B-D346-4C77-A0C2-87E87700713A}" name="Status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B5A2ADF-692D-43B2-B733-865E87F509F7}" name="Table22" displayName="Table22" ref="A1:E11" totalsRowShown="0" headerRowDxfId="11" dataDxfId="10" headerRowBorderDxfId="8" tableBorderDxfId="9" totalsRowBorderDxfId="7">
  <autoFilter ref="A1:E11" xr:uid="{1B5A2ADF-692D-43B2-B733-865E87F509F7}"/>
  <tableColumns count="5">
    <tableColumn id="1" xr3:uid="{DDB05558-923C-478B-A2C8-3FBB2C8EEACF}" name="Emp_ID" dataDxfId="6"/>
    <tableColumn id="2" xr3:uid="{DEC03756-249F-459A-8328-BEAC15114170}" name="Department" dataDxfId="5"/>
    <tableColumn id="3" xr3:uid="{55B0485F-E918-4034-9BDA-45229A485D91}" name="Role" dataDxfId="4"/>
    <tableColumn id="4" xr3:uid="{C214DCDD-AFC0-4938-9729-A0F6E507D53B}" name="Days_Inactive" dataDxfId="3"/>
    <tableColumn id="5" xr3:uid="{F302B34F-D6DD-4C17-9696-0CA883063779}" name="Access_Level" dataDxfId="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36B8882-0FB6-4866-B0C5-EC691B109D6B}" name="Table24" displayName="Table24" ref="A1:E9" totalsRowShown="0">
  <autoFilter ref="A1:E9" xr:uid="{436B8882-0FB6-4866-B0C5-EC691B109D6B}"/>
  <tableColumns count="5">
    <tableColumn id="1" xr3:uid="{2303B2FC-F698-410E-8117-F068034B2D17}" name="Lead_ID"/>
    <tableColumn id="2" xr3:uid="{D801B900-8AE8-4FED-9ACD-921C52959CB1}" name="Company"/>
    <tableColumn id="3" xr3:uid="{82482D90-2814-40B1-A38C-2D1830B865BC}" name="Deal_Size"/>
    <tableColumn id="4" xr3:uid="{7AF4805F-5189-4D1C-ADD9-09DC9C066CE8}" name="Win_Chance" dataDxfId="1"/>
    <tableColumn id="5" xr3:uid="{733CF081-864C-4C4B-855C-4AD86F308A0D}" name="Statu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DABB8BB-B5E0-4294-A30E-F1374750F354}" name="Table23" displayName="Table23" ref="A1:G9" totalsRowShown="0">
  <autoFilter ref="A1:G9" xr:uid="{7DABB8BB-B5E0-4294-A30E-F1374750F354}"/>
  <tableColumns count="7">
    <tableColumn id="1" xr3:uid="{C22CB9EC-3BCC-4EA4-A8BD-1BC3851B5D4C}" name="Emp_ID"/>
    <tableColumn id="2" xr3:uid="{76F7F98A-E443-43CF-8AF7-0BE8A5BBB6B1}" name="Name"/>
    <tableColumn id="3" xr3:uid="{05916135-1E2E-4FD1-BB24-5A99ADEF333D}" name="Dept_ID"/>
    <tableColumn id="4" xr3:uid="{0678C202-5C70-48EE-AF14-473D173CF342}" name="Score"/>
    <tableColumn id="5" xr3:uid="{AF5A4610-013D-4428-A311-275EE56EE231}" name="Training"/>
    <tableColumn id="6" xr3:uid="{CCDA20FF-3974-4BEE-ACA6-EA0BF4A5CF68}" name="Tenure"/>
    <tableColumn id="7" xr3:uid="{860F3A83-F232-4E79-8898-DE67B3B83F7F}" name="Department" dataDxfId="0">
      <calculatedColumnFormula array="1">_xlfn.XLOOKUP(C2,Table25[[#All],[Dept_ID]],Table25[[#All],[Dept_Name]],,0)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F3B94C0-1000-4A98-8595-EB1F62F99780}" name="Table25" displayName="Table25" ref="H1:I4" totalsRowShown="0">
  <autoFilter ref="H1:I4" xr:uid="{8F3B94C0-1000-4A98-8595-EB1F62F99780}"/>
  <tableColumns count="2">
    <tableColumn id="1" xr3:uid="{CCB79E48-8952-48FF-B86B-8C585D73436B}" name="Dept_ID"/>
    <tableColumn id="2" xr3:uid="{005E9F9F-3EFD-4535-949E-8ED96EFF947E}" name="Dep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D1" sqref="D1"/>
    </sheetView>
  </sheetViews>
  <sheetFormatPr defaultRowHeight="15"/>
  <cols>
    <col min="1" max="1" width="19.7109375" customWidth="1"/>
    <col min="2" max="2" width="11.85546875" bestFit="1" customWidth="1"/>
  </cols>
  <sheetData>
    <row r="1" spans="1:3">
      <c r="A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2" t="s">
        <v>4</v>
      </c>
      <c r="B4" s="3">
        <v>12000</v>
      </c>
      <c r="C4" s="2" t="str">
        <f>IF(B4&gt;1000,"High","Low")</f>
        <v>High</v>
      </c>
    </row>
    <row r="5" spans="1:3">
      <c r="A5" s="2" t="s">
        <v>5</v>
      </c>
      <c r="B5" s="3">
        <v>4000</v>
      </c>
      <c r="C5" s="2" t="str">
        <f t="shared" ref="C5:C7" si="0">IF(B5&gt;1000,"High","Low")</f>
        <v>High</v>
      </c>
    </row>
    <row r="6" spans="1:3">
      <c r="A6" s="2" t="s">
        <v>6</v>
      </c>
      <c r="B6" s="3">
        <v>800</v>
      </c>
      <c r="C6" s="2" t="str">
        <f t="shared" si="0"/>
        <v>Low</v>
      </c>
    </row>
    <row r="7" spans="1:3">
      <c r="A7" s="2" t="s">
        <v>7</v>
      </c>
      <c r="B7" s="3">
        <v>200</v>
      </c>
      <c r="C7" s="2" t="str">
        <f t="shared" si="0"/>
        <v>Low</v>
      </c>
    </row>
    <row r="8" spans="1:3">
      <c r="B8" s="1"/>
    </row>
    <row r="9" spans="1:3">
      <c r="A9" t="s">
        <v>8</v>
      </c>
      <c r="B9" s="1">
        <f>SUM(B4:B7)</f>
        <v>17000</v>
      </c>
    </row>
    <row r="10" spans="1:3">
      <c r="A10" t="s">
        <v>9</v>
      </c>
      <c r="B10" s="1">
        <f>AVERAGE(B4:B7)</f>
        <v>4250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240F-4663-47BF-BD23-46C78799FDE4}">
  <dimension ref="A1:G4"/>
  <sheetViews>
    <sheetView topLeftCell="B1" workbookViewId="0">
      <selection activeCell="G1" sqref="G1"/>
    </sheetView>
  </sheetViews>
  <sheetFormatPr defaultRowHeight="15"/>
  <cols>
    <col min="2" max="2" width="18" customWidth="1"/>
    <col min="3" max="3" width="10.28515625" customWidth="1"/>
    <col min="4" max="4" width="11.85546875" customWidth="1"/>
    <col min="5" max="5" width="17.7109375" bestFit="1" customWidth="1"/>
    <col min="7" max="7" width="16" customWidth="1"/>
  </cols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101</v>
      </c>
      <c r="B2" t="s">
        <v>17</v>
      </c>
      <c r="C2" t="s">
        <v>18</v>
      </c>
      <c r="D2" t="str">
        <f>PROPER(TRIM(B2))</f>
        <v>Atharva G.</v>
      </c>
      <c r="E2" t="s">
        <v>19</v>
      </c>
      <c r="F2" t="s">
        <v>18</v>
      </c>
      <c r="G2" t="s">
        <v>20</v>
      </c>
    </row>
    <row r="3" spans="1:7">
      <c r="A3">
        <v>102</v>
      </c>
      <c r="B3" t="s">
        <v>21</v>
      </c>
      <c r="C3" t="s">
        <v>22</v>
      </c>
      <c r="D3" t="str">
        <f t="shared" ref="D3:D4" si="0">PROPER(TRIM(B3))</f>
        <v>John D0E</v>
      </c>
      <c r="E3" t="str">
        <f t="shared" ref="E3:E4" si="1">_xlfn.XLOOKUP(C3, $F$2:$F$3, $G$2:$G$3)</f>
        <v>Human Resources</v>
      </c>
      <c r="F3" t="s">
        <v>22</v>
      </c>
      <c r="G3" t="s">
        <v>23</v>
      </c>
    </row>
    <row r="4" spans="1:7">
      <c r="A4">
        <v>103</v>
      </c>
      <c r="B4" t="s">
        <v>24</v>
      </c>
      <c r="C4" t="s">
        <v>18</v>
      </c>
      <c r="D4" t="str">
        <f t="shared" si="0"/>
        <v>Sara Smith</v>
      </c>
      <c r="E4" t="str">
        <f t="shared" si="1"/>
        <v>Development</v>
      </c>
      <c r="F4" t="s">
        <v>18</v>
      </c>
      <c r="G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A754-5DDD-4F24-AC24-F57E3B627258}">
  <dimension ref="A1:C6"/>
  <sheetViews>
    <sheetView workbookViewId="0">
      <selection activeCell="C5" sqref="C5"/>
    </sheetView>
  </sheetViews>
  <sheetFormatPr defaultRowHeight="15"/>
  <cols>
    <col min="3" max="3" width="11.5703125" customWidth="1"/>
  </cols>
  <sheetData>
    <row r="1" spans="1:3">
      <c r="A1" t="s">
        <v>25</v>
      </c>
      <c r="B1" s="4">
        <v>0.1</v>
      </c>
    </row>
    <row r="3" spans="1:3">
      <c r="A3" t="s">
        <v>1</v>
      </c>
      <c r="B3" t="s">
        <v>26</v>
      </c>
      <c r="C3" t="s">
        <v>27</v>
      </c>
    </row>
    <row r="4" spans="1:3">
      <c r="A4" t="s">
        <v>28</v>
      </c>
      <c r="B4">
        <v>50000</v>
      </c>
      <c r="C4">
        <f>B4*$B$1</f>
        <v>5000</v>
      </c>
    </row>
    <row r="5" spans="1:3">
      <c r="A5" t="s">
        <v>29</v>
      </c>
      <c r="B5">
        <v>10000</v>
      </c>
      <c r="C5">
        <f t="shared" ref="C5:C6" si="0">B5*$B$1</f>
        <v>1000</v>
      </c>
    </row>
    <row r="6" spans="1:3">
      <c r="A6" t="s">
        <v>30</v>
      </c>
      <c r="B6">
        <v>2000</v>
      </c>
      <c r="C6">
        <f t="shared" si="0"/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88B3-DFA7-464B-BE99-4B408A53DC35}">
  <dimension ref="A1:H4"/>
  <sheetViews>
    <sheetView topLeftCell="D1" workbookViewId="0">
      <selection activeCell="F2" sqref="F2"/>
    </sheetView>
  </sheetViews>
  <sheetFormatPr defaultRowHeight="15"/>
  <cols>
    <col min="1" max="1" width="10.140625" customWidth="1"/>
    <col min="2" max="2" width="9.85546875" customWidth="1"/>
    <col min="4" max="4" width="27.85546875" customWidth="1"/>
    <col min="5" max="5" width="10.7109375" customWidth="1"/>
    <col min="8" max="8" width="19.140625" customWidth="1"/>
  </cols>
  <sheetData>
    <row r="1" spans="1:8">
      <c r="A1" t="s">
        <v>31</v>
      </c>
      <c r="B1" t="s">
        <v>32</v>
      </c>
      <c r="C1" t="s">
        <v>15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>
      <c r="A2" t="s">
        <v>38</v>
      </c>
      <c r="B2" t="s">
        <v>39</v>
      </c>
      <c r="C2" t="s">
        <v>40</v>
      </c>
      <c r="D2" t="str">
        <f>LOWER(A2)&amp;"."&amp;LOWER(B2)&amp;"@company.com"</f>
        <v>atharva .gotad@company.com</v>
      </c>
      <c r="E2" t="str">
        <f>SUBSTITUTE(C2, "-", "_")</f>
        <v>DEV_101</v>
      </c>
      <c r="F2" t="str">
        <f>LEFT(C2,3)</f>
        <v>DEV</v>
      </c>
      <c r="G2" t="str">
        <f>RIGHT(C2, 3)</f>
        <v>101</v>
      </c>
      <c r="H2" t="s">
        <v>41</v>
      </c>
    </row>
    <row r="3" spans="1:8">
      <c r="A3" t="s">
        <v>42</v>
      </c>
      <c r="B3" t="s">
        <v>43</v>
      </c>
      <c r="C3" t="s">
        <v>44</v>
      </c>
      <c r="D3" t="str">
        <f t="shared" ref="D3:D4" si="0">LOWER(A3)&amp;"."&amp;LOWER(B3)&amp;"@company.com"</f>
        <v>john.doe@company.com</v>
      </c>
      <c r="E3" t="str">
        <f t="shared" ref="E3:E4" si="1">SUBSTITUTE(C3, "-", "_")</f>
        <v>HR_202</v>
      </c>
      <c r="F3" t="str">
        <f>LEFT(C3,2)</f>
        <v>HR</v>
      </c>
      <c r="G3" t="str">
        <f t="shared" ref="G3:G4" si="2">RIGHT(C3, 3)</f>
        <v>202</v>
      </c>
      <c r="H3" t="s">
        <v>45</v>
      </c>
    </row>
    <row r="4" spans="1:8">
      <c r="A4" t="s">
        <v>46</v>
      </c>
      <c r="B4" t="s">
        <v>47</v>
      </c>
      <c r="C4" t="s">
        <v>48</v>
      </c>
      <c r="D4" t="str">
        <f t="shared" si="0"/>
        <v>sara.smith@company.com</v>
      </c>
      <c r="E4" t="str">
        <f t="shared" si="1"/>
        <v>DEV_103</v>
      </c>
      <c r="F4" t="str">
        <f t="shared" ref="F3:F4" si="3">LEFT(C4,3)</f>
        <v>DEV</v>
      </c>
      <c r="G4" t="str">
        <f t="shared" si="2"/>
        <v>103</v>
      </c>
      <c r="H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E95C-9EF0-4C5A-98DC-A2BC52CBDA00}">
  <dimension ref="A1:F4"/>
  <sheetViews>
    <sheetView workbookViewId="0">
      <selection activeCell="B3" sqref="B3"/>
    </sheetView>
  </sheetViews>
  <sheetFormatPr defaultRowHeight="15"/>
  <cols>
    <col min="1" max="1" width="12.28515625" customWidth="1"/>
    <col min="2" max="2" width="12.85546875" customWidth="1"/>
    <col min="3" max="4" width="15.140625" customWidth="1"/>
    <col min="5" max="5" width="16.42578125" customWidth="1"/>
    <col min="6" max="6" width="27.42578125" customWidth="1"/>
  </cols>
  <sheetData>
    <row r="1" spans="1:6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>
      <c r="A2" t="s">
        <v>56</v>
      </c>
      <c r="B2">
        <v>45</v>
      </c>
      <c r="C2" s="4">
        <v>0.95</v>
      </c>
      <c r="D2" t="str">
        <f>IF(B2&gt;=30, "Yes", "No")</f>
        <v>Yes</v>
      </c>
      <c r="E2" s="5" t="str">
        <f>IF(AND(B2&gt;=30, C2&gt;=90%), "Bonus", "No Bonus")</f>
        <v>Bonus</v>
      </c>
      <c r="F2" t="str" cm="1">
        <f t="array" ref="F2">_xlfn.IFS(B2&gt;=40, "Top Tier", B2&gt;=30, "Solid", B2&lt;30, "Needs Work")</f>
        <v>Top Tier</v>
      </c>
    </row>
    <row r="3" spans="1:6">
      <c r="A3" t="s">
        <v>42</v>
      </c>
      <c r="B3">
        <v>35</v>
      </c>
      <c r="C3" s="4">
        <v>0.8</v>
      </c>
      <c r="D3" t="str">
        <f t="shared" ref="D3:D4" si="0">IF(B3&gt;=30, "Yes", "No")</f>
        <v>Yes</v>
      </c>
      <c r="E3" s="5" t="str">
        <f t="shared" ref="E3:E4" si="1">IF(AND(B3&gt;=30, C3&gt;=90%), "Bonus", "No Bonus")</f>
        <v>No Bonus</v>
      </c>
      <c r="F3" t="str" cm="1">
        <f t="array" ref="F3">_xlfn.IFS(B3&gt;=40, "Top Tier", B3&gt;=30, "Solid", B3&lt;30, "Needs Work")</f>
        <v>Solid</v>
      </c>
    </row>
    <row r="4" spans="1:6">
      <c r="A4" t="s">
        <v>46</v>
      </c>
      <c r="B4">
        <v>32</v>
      </c>
      <c r="C4" s="4">
        <v>0.98</v>
      </c>
      <c r="D4" t="str">
        <f t="shared" si="0"/>
        <v>Yes</v>
      </c>
      <c r="E4" s="5" t="str">
        <f t="shared" si="1"/>
        <v>Bonus</v>
      </c>
      <c r="F4" t="str" cm="1">
        <f t="array" ref="F4">_xlfn.IFS(B4&gt;=40, "Top Tier", B4&gt;=30, "Solid", B4&lt;30, "Needs Work")</f>
        <v>Solid</v>
      </c>
    </row>
  </sheetData>
  <conditionalFormatting sqref="E2:E4">
    <cfRule type="cellIs" dxfId="27" priority="1" operator="equal">
      <formula>"Bonus"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A005-4AC4-48A4-8F2F-F841DD258D5C}">
  <dimension ref="A1:C4"/>
  <sheetViews>
    <sheetView workbookViewId="0">
      <selection activeCell="C2" sqref="C2"/>
    </sheetView>
  </sheetViews>
  <sheetFormatPr defaultRowHeight="15"/>
  <cols>
    <col min="1" max="2" width="16" customWidth="1"/>
    <col min="3" max="3" width="17.28515625" customWidth="1"/>
  </cols>
  <sheetData>
    <row r="1" spans="1:3">
      <c r="A1" t="s">
        <v>57</v>
      </c>
      <c r="B1" t="s">
        <v>58</v>
      </c>
      <c r="C1" t="s">
        <v>59</v>
      </c>
    </row>
    <row r="2" spans="1:3">
      <c r="A2" t="s">
        <v>60</v>
      </c>
      <c r="B2" t="s">
        <v>61</v>
      </c>
    </row>
    <row r="3" spans="1:3">
      <c r="A3" t="s">
        <v>62</v>
      </c>
      <c r="B3" t="s">
        <v>63</v>
      </c>
    </row>
    <row r="4" spans="1:3">
      <c r="A4" t="s">
        <v>64</v>
      </c>
    </row>
  </sheetData>
  <dataValidations count="2">
    <dataValidation type="list" allowBlank="1" showInputMessage="1" showErrorMessage="1" sqref="B2:B10" xr:uid="{2C873225-EA84-4A5A-8F7C-2F0D7CECBC8F}">
      <formula1>"To Do, In Progress, Code Review, Done"</formula1>
    </dataValidation>
    <dataValidation type="whole" allowBlank="1" showInputMessage="1" showErrorMessage="1" sqref="C2:C10" xr:uid="{D8CD8CA7-38F6-4004-9485-ABB1B3982EB0}">
      <formula1>1</formula1>
      <formula2>8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B772-2628-42AD-8045-FBB877D7B395}">
  <dimension ref="A1:C6"/>
  <sheetViews>
    <sheetView workbookViewId="0">
      <selection activeCell="B2" sqref="B2"/>
    </sheetView>
  </sheetViews>
  <sheetFormatPr defaultRowHeight="15"/>
  <cols>
    <col min="1" max="1" width="12.7109375" customWidth="1"/>
    <col min="2" max="2" width="15.42578125" customWidth="1"/>
    <col min="3" max="3" width="19.28515625" customWidth="1"/>
  </cols>
  <sheetData>
    <row r="1" spans="1:3">
      <c r="A1" s="2" t="s">
        <v>65</v>
      </c>
      <c r="B1" s="2" t="s">
        <v>66</v>
      </c>
      <c r="C1" s="2" t="s">
        <v>67</v>
      </c>
    </row>
    <row r="2" spans="1:3">
      <c r="A2" s="2" t="s">
        <v>68</v>
      </c>
      <c r="B2" s="2">
        <v>200</v>
      </c>
      <c r="C2" s="2">
        <v>120</v>
      </c>
    </row>
    <row r="3" spans="1:3">
      <c r="A3" s="2" t="s">
        <v>68</v>
      </c>
      <c r="B3" s="2">
        <v>500</v>
      </c>
      <c r="C3" s="2">
        <v>850</v>
      </c>
    </row>
    <row r="4" spans="1:3">
      <c r="A4" s="2" t="s">
        <v>69</v>
      </c>
      <c r="B4" s="2">
        <v>200</v>
      </c>
      <c r="C4" s="2">
        <v>90</v>
      </c>
    </row>
    <row r="5" spans="1:3">
      <c r="A5" s="2" t="s">
        <v>69</v>
      </c>
      <c r="B5" s="2">
        <v>401</v>
      </c>
      <c r="C5" s="2">
        <v>45</v>
      </c>
    </row>
    <row r="6" spans="1:3">
      <c r="A6" s="2" t="s">
        <v>70</v>
      </c>
      <c r="B6" s="2">
        <v>200</v>
      </c>
      <c r="C6" s="2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A1DC-8E6C-4A43-83F4-F9FA5619D333}">
  <dimension ref="A3:B9"/>
  <sheetViews>
    <sheetView workbookViewId="0">
      <selection activeCell="A4" sqref="A4"/>
    </sheetView>
  </sheetViews>
  <sheetFormatPr defaultRowHeight="15"/>
  <cols>
    <col min="1" max="1" width="12.28515625" bestFit="1" customWidth="1"/>
    <col min="2" max="2" width="29.85546875" bestFit="1" customWidth="1"/>
  </cols>
  <sheetData>
    <row r="3" spans="1:2">
      <c r="A3" s="7" t="s">
        <v>65</v>
      </c>
      <c r="B3" t="s">
        <v>71</v>
      </c>
    </row>
    <row r="4" spans="1:2">
      <c r="A4" t="s">
        <v>69</v>
      </c>
      <c r="B4" s="6">
        <v>67.5</v>
      </c>
    </row>
    <row r="5" spans="1:2">
      <c r="A5" t="s">
        <v>70</v>
      </c>
      <c r="B5" s="6">
        <v>210</v>
      </c>
    </row>
    <row r="6" spans="1:2">
      <c r="A6" t="s">
        <v>68</v>
      </c>
      <c r="B6" s="6">
        <v>485</v>
      </c>
    </row>
    <row r="7" spans="1:2">
      <c r="A7" t="s">
        <v>72</v>
      </c>
      <c r="B7" s="6">
        <v>263</v>
      </c>
    </row>
    <row r="8" spans="1:2">
      <c r="A8" s="6"/>
    </row>
    <row r="9" spans="1:2">
      <c r="A9" s="6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2DD0-B157-4399-A54D-E03EEF710539}">
  <dimension ref="A1:J3"/>
  <sheetViews>
    <sheetView workbookViewId="0">
      <selection activeCell="I2" sqref="I2"/>
    </sheetView>
  </sheetViews>
  <sheetFormatPr defaultRowHeight="15"/>
  <cols>
    <col min="2" max="2" width="23.140625" customWidth="1"/>
    <col min="3" max="3" width="11" customWidth="1"/>
    <col min="4" max="4" width="21.5703125" customWidth="1"/>
    <col min="5" max="5" width="12.28515625" customWidth="1"/>
    <col min="6" max="6" width="13.42578125" customWidth="1"/>
    <col min="8" max="8" width="16.5703125" customWidth="1"/>
    <col min="9" max="9" width="16" customWidth="1"/>
    <col min="10" max="10" width="12.7109375" customWidth="1"/>
  </cols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37</v>
      </c>
      <c r="H1" t="s">
        <v>78</v>
      </c>
      <c r="I1" t="s">
        <v>37</v>
      </c>
      <c r="J1" t="s">
        <v>79</v>
      </c>
    </row>
    <row r="2" spans="1:10">
      <c r="A2">
        <v>101</v>
      </c>
      <c r="B2" t="s">
        <v>80</v>
      </c>
      <c r="C2" t="s">
        <v>81</v>
      </c>
      <c r="D2" t="str">
        <f>PROPER(TRIM(B2))</f>
        <v>Atharva@Company.Com</v>
      </c>
      <c r="E2" t="str">
        <f>LEFT(C2,3)</f>
        <v>DEV</v>
      </c>
      <c r="F2">
        <v>101</v>
      </c>
      <c r="G2" t="s">
        <v>56</v>
      </c>
      <c r="H2" t="str">
        <f>_xlfn.XLOOKUP(A2, $F$2:$F$3, $G$2:$G$3)</f>
        <v>Atharva</v>
      </c>
    </row>
    <row r="3" spans="1:10">
      <c r="A3">
        <v>102</v>
      </c>
      <c r="B3" t="s">
        <v>82</v>
      </c>
      <c r="C3" t="s">
        <v>83</v>
      </c>
      <c r="D3" t="str">
        <f>PROPER(TRIM(B3))</f>
        <v>John@Company.Com</v>
      </c>
      <c r="E3" t="str">
        <f>LEFT(C3,3)</f>
        <v>HR-</v>
      </c>
      <c r="F3">
        <v>102</v>
      </c>
      <c r="G3" t="s">
        <v>42</v>
      </c>
      <c r="H3" t="str">
        <f>_xlfn.XLOOKUP(A3, $F$2:$F$3, $G$2:$G$3)</f>
        <v>John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5B4F-7635-4AC6-9150-28A85EB5BC5F}">
  <dimension ref="A1:J35"/>
  <sheetViews>
    <sheetView workbookViewId="0">
      <selection activeCell="G4" sqref="G4"/>
    </sheetView>
  </sheetViews>
  <sheetFormatPr defaultRowHeight="15"/>
  <cols>
    <col min="1" max="1" width="11.42578125" bestFit="1" customWidth="1"/>
    <col min="2" max="2" width="14.5703125" customWidth="1"/>
    <col min="3" max="3" width="11.42578125" customWidth="1"/>
    <col min="4" max="4" width="14" customWidth="1"/>
    <col min="5" max="5" width="12.5703125" customWidth="1"/>
    <col min="6" max="6" width="26" customWidth="1"/>
    <col min="7" max="7" width="14.28515625" customWidth="1"/>
    <col min="8" max="8" width="15.85546875" customWidth="1"/>
    <col min="9" max="9" width="12.5703125" customWidth="1"/>
    <col min="10" max="10" width="18.28515625" customWidth="1"/>
  </cols>
  <sheetData>
    <row r="1" spans="1:10">
      <c r="A1" t="s">
        <v>10</v>
      </c>
      <c r="B1" t="s">
        <v>31</v>
      </c>
      <c r="C1" t="s">
        <v>32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</row>
    <row r="2" spans="1:10">
      <c r="H2" t="s">
        <v>18</v>
      </c>
      <c r="I2">
        <f>COUNTIFS(D:D, H2)</f>
        <v>7</v>
      </c>
      <c r="J2">
        <f>COUNTIFS(D:D, H2, E:E, "&gt;01-01-2023")</f>
        <v>7</v>
      </c>
    </row>
    <row r="4" spans="1:10">
      <c r="A4" s="6" t="s">
        <v>91</v>
      </c>
      <c r="B4" t="s">
        <v>92</v>
      </c>
      <c r="C4" t="s">
        <v>93</v>
      </c>
      <c r="D4" t="s">
        <v>18</v>
      </c>
      <c r="E4" s="8">
        <v>44958</v>
      </c>
      <c r="F4" t="str">
        <f>LOWER(B4 &amp; C4 &amp; ".company.com")</f>
        <v>rahulsharma.company.com</v>
      </c>
      <c r="G4" t="str">
        <f>_xlfn.XLOOKUP(D4, Sheet11!A:A, Sheet11!B:B)</f>
        <v>Sarah Connor</v>
      </c>
      <c r="H4" s="8"/>
    </row>
    <row r="5" spans="1:10">
      <c r="A5" s="6" t="s">
        <v>94</v>
      </c>
      <c r="B5" t="s">
        <v>95</v>
      </c>
      <c r="C5" t="s">
        <v>96</v>
      </c>
      <c r="D5" t="s">
        <v>22</v>
      </c>
      <c r="E5" s="8">
        <v>44972</v>
      </c>
      <c r="F5" t="str">
        <f t="shared" ref="F5:F23" si="0">LOWER(B5 &amp; C5 &amp; ".company.com")</f>
        <v>priyapatel.company.com</v>
      </c>
      <c r="H5" s="8"/>
    </row>
    <row r="6" spans="1:10">
      <c r="A6" s="6" t="s">
        <v>97</v>
      </c>
      <c r="B6" t="s">
        <v>98</v>
      </c>
      <c r="C6" t="s">
        <v>99</v>
      </c>
      <c r="D6" t="s">
        <v>100</v>
      </c>
      <c r="E6" s="8">
        <v>44995</v>
      </c>
      <c r="F6" t="str">
        <f t="shared" si="0"/>
        <v>amitsingh.company.com</v>
      </c>
      <c r="H6" s="8"/>
    </row>
    <row r="7" spans="1:10">
      <c r="A7" s="6" t="s">
        <v>101</v>
      </c>
      <c r="B7" t="s">
        <v>102</v>
      </c>
      <c r="C7" t="s">
        <v>103</v>
      </c>
      <c r="D7" t="s">
        <v>104</v>
      </c>
      <c r="E7" s="8">
        <v>45038</v>
      </c>
      <c r="F7" t="str">
        <f t="shared" si="0"/>
        <v>nehagupta.company.com</v>
      </c>
      <c r="H7" s="8"/>
    </row>
    <row r="8" spans="1:10">
      <c r="A8" s="6" t="s">
        <v>105</v>
      </c>
      <c r="B8" t="s">
        <v>106</v>
      </c>
      <c r="C8" t="s">
        <v>107</v>
      </c>
      <c r="D8" t="s">
        <v>18</v>
      </c>
      <c r="E8" s="8">
        <v>45051</v>
      </c>
      <c r="F8" t="str">
        <f t="shared" si="0"/>
        <v>vikramjoshi.company.com</v>
      </c>
      <c r="H8" s="8"/>
    </row>
    <row r="9" spans="1:10">
      <c r="A9" s="6" t="s">
        <v>108</v>
      </c>
      <c r="B9" t="s">
        <v>109</v>
      </c>
      <c r="C9" t="s">
        <v>110</v>
      </c>
      <c r="D9" t="s">
        <v>18</v>
      </c>
      <c r="E9" s="8">
        <v>45095</v>
      </c>
      <c r="F9" t="str">
        <f t="shared" si="0"/>
        <v>anjalidesai.company.com</v>
      </c>
      <c r="H9" s="8"/>
    </row>
    <row r="10" spans="1:10">
      <c r="A10" s="6" t="s">
        <v>111</v>
      </c>
      <c r="B10" t="s">
        <v>112</v>
      </c>
      <c r="C10" t="s">
        <v>113</v>
      </c>
      <c r="D10" t="s">
        <v>100</v>
      </c>
      <c r="E10" s="8">
        <v>45137</v>
      </c>
      <c r="F10" t="str">
        <f t="shared" si="0"/>
        <v>rohanmehta.company.com</v>
      </c>
      <c r="H10" s="8"/>
    </row>
    <row r="11" spans="1:10">
      <c r="A11" s="6" t="s">
        <v>114</v>
      </c>
      <c r="B11" t="s">
        <v>115</v>
      </c>
      <c r="C11" t="s">
        <v>116</v>
      </c>
      <c r="D11" t="s">
        <v>22</v>
      </c>
      <c r="E11" s="8">
        <v>45150</v>
      </c>
      <c r="F11" t="str">
        <f t="shared" si="0"/>
        <v>poojakumar.company.com</v>
      </c>
      <c r="H11" s="8"/>
    </row>
    <row r="12" spans="1:10">
      <c r="A12" s="6" t="s">
        <v>117</v>
      </c>
      <c r="B12" t="s">
        <v>118</v>
      </c>
      <c r="C12" t="s">
        <v>119</v>
      </c>
      <c r="D12" t="s">
        <v>104</v>
      </c>
      <c r="E12" s="8">
        <v>45194</v>
      </c>
      <c r="F12" t="str">
        <f t="shared" si="0"/>
        <v>sanjayverma.company.com</v>
      </c>
      <c r="H12" s="8"/>
    </row>
    <row r="13" spans="1:10">
      <c r="A13" s="6" t="s">
        <v>120</v>
      </c>
      <c r="B13" t="s">
        <v>121</v>
      </c>
      <c r="C13" t="s">
        <v>122</v>
      </c>
      <c r="D13" t="s">
        <v>18</v>
      </c>
      <c r="E13" s="8">
        <v>45207</v>
      </c>
      <c r="F13" t="str">
        <f t="shared" si="0"/>
        <v>kavitanair.company.com</v>
      </c>
      <c r="H13" s="8"/>
    </row>
    <row r="14" spans="1:10">
      <c r="A14" s="6" t="s">
        <v>123</v>
      </c>
      <c r="B14" t="s">
        <v>124</v>
      </c>
      <c r="C14" t="s">
        <v>125</v>
      </c>
      <c r="D14" t="s">
        <v>100</v>
      </c>
      <c r="E14" s="8">
        <v>45244</v>
      </c>
      <c r="F14" t="str">
        <f t="shared" si="0"/>
        <v>arjunreddy.company.com</v>
      </c>
      <c r="H14" s="8"/>
    </row>
    <row r="15" spans="1:10">
      <c r="A15" s="6" t="s">
        <v>126</v>
      </c>
      <c r="B15" t="s">
        <v>127</v>
      </c>
      <c r="C15" t="s">
        <v>128</v>
      </c>
      <c r="D15" t="s">
        <v>22</v>
      </c>
      <c r="E15" s="8">
        <v>45261</v>
      </c>
      <c r="F15" t="str">
        <f t="shared" si="0"/>
        <v>sneharao.company.com</v>
      </c>
      <c r="H15" s="8"/>
    </row>
    <row r="16" spans="1:10">
      <c r="A16" s="6" t="s">
        <v>129</v>
      </c>
      <c r="B16" t="s">
        <v>130</v>
      </c>
      <c r="C16" t="s">
        <v>131</v>
      </c>
      <c r="D16" t="s">
        <v>18</v>
      </c>
      <c r="E16" s="8">
        <v>45310</v>
      </c>
      <c r="F16" t="str">
        <f t="shared" si="0"/>
        <v>karandas.company.com</v>
      </c>
      <c r="H16" s="8"/>
    </row>
    <row r="17" spans="1:8">
      <c r="A17" s="6" t="s">
        <v>132</v>
      </c>
      <c r="B17" t="s">
        <v>133</v>
      </c>
      <c r="C17" t="s">
        <v>134</v>
      </c>
      <c r="D17" t="s">
        <v>104</v>
      </c>
      <c r="E17" s="8">
        <v>45350</v>
      </c>
      <c r="F17" t="str">
        <f t="shared" si="0"/>
        <v>riyamishra.company.com</v>
      </c>
      <c r="H17" s="8"/>
    </row>
    <row r="18" spans="1:8">
      <c r="A18" s="6" t="s">
        <v>135</v>
      </c>
      <c r="B18" t="s">
        <v>136</v>
      </c>
      <c r="C18" t="s">
        <v>137</v>
      </c>
      <c r="D18" t="s">
        <v>18</v>
      </c>
      <c r="E18" s="8">
        <v>45362</v>
      </c>
      <c r="F18" t="str">
        <f t="shared" si="0"/>
        <v>vivekpandey.company.com</v>
      </c>
      <c r="H18" s="8"/>
    </row>
    <row r="19" spans="1:8">
      <c r="A19" s="6" t="s">
        <v>138</v>
      </c>
      <c r="B19" t="s">
        <v>139</v>
      </c>
      <c r="C19" t="s">
        <v>140</v>
      </c>
      <c r="D19" t="s">
        <v>100</v>
      </c>
      <c r="E19" s="8">
        <v>45406</v>
      </c>
      <c r="F19" t="str">
        <f t="shared" si="0"/>
        <v>meeraiyer.company.com</v>
      </c>
      <c r="H19" s="8"/>
    </row>
    <row r="20" spans="1:8">
      <c r="A20" s="6" t="s">
        <v>141</v>
      </c>
      <c r="B20" t="s">
        <v>92</v>
      </c>
      <c r="C20" t="s">
        <v>142</v>
      </c>
      <c r="D20" t="s">
        <v>22</v>
      </c>
      <c r="E20" s="8">
        <v>45419</v>
      </c>
      <c r="F20" t="str">
        <f t="shared" si="0"/>
        <v>rahulbose.company.com</v>
      </c>
      <c r="H20" s="8"/>
    </row>
    <row r="21" spans="1:8">
      <c r="A21" s="6" t="s">
        <v>143</v>
      </c>
      <c r="B21" t="s">
        <v>144</v>
      </c>
      <c r="C21" t="s">
        <v>145</v>
      </c>
      <c r="D21" t="s">
        <v>18</v>
      </c>
      <c r="E21" s="8">
        <v>45463</v>
      </c>
      <c r="F21" t="str">
        <f t="shared" si="0"/>
        <v>kiranbhat.company.com</v>
      </c>
      <c r="H21" s="8"/>
    </row>
    <row r="22" spans="1:8">
      <c r="A22" s="6" t="s">
        <v>146</v>
      </c>
      <c r="B22" t="s">
        <v>147</v>
      </c>
      <c r="C22" t="s">
        <v>148</v>
      </c>
      <c r="D22" t="s">
        <v>104</v>
      </c>
      <c r="E22" s="8">
        <v>45476</v>
      </c>
      <c r="F22" t="str">
        <f t="shared" si="0"/>
        <v>sureshmenon.company.com</v>
      </c>
      <c r="H22" s="8"/>
    </row>
    <row r="23" spans="1:8">
      <c r="A23" s="6" t="s">
        <v>149</v>
      </c>
      <c r="B23" t="s">
        <v>150</v>
      </c>
      <c r="C23" t="s">
        <v>151</v>
      </c>
      <c r="D23" t="s">
        <v>100</v>
      </c>
      <c r="E23" s="8">
        <v>45520</v>
      </c>
      <c r="F23" t="str">
        <f t="shared" si="0"/>
        <v>aartijain.company.com</v>
      </c>
      <c r="H23" s="8"/>
    </row>
    <row r="24" spans="1:8">
      <c r="E24" s="8"/>
    </row>
    <row r="25" spans="1:8">
      <c r="E25" s="8"/>
    </row>
    <row r="26" spans="1:8">
      <c r="E26" s="8"/>
    </row>
    <row r="27" spans="1:8">
      <c r="E27" s="8"/>
    </row>
    <row r="28" spans="1:8">
      <c r="E28" s="8"/>
    </row>
    <row r="29" spans="1:8">
      <c r="E29" s="8"/>
    </row>
    <row r="30" spans="1:8">
      <c r="E30" s="8"/>
    </row>
    <row r="31" spans="1:8">
      <c r="E31" s="8"/>
    </row>
    <row r="32" spans="1:8">
      <c r="E32" s="8"/>
    </row>
    <row r="33" spans="5:5">
      <c r="E33" s="8"/>
    </row>
    <row r="34" spans="5:5">
      <c r="E34" s="8"/>
    </row>
    <row r="35" spans="5:5">
      <c r="E35" s="8"/>
    </row>
  </sheetData>
  <dataValidations count="2">
    <dataValidation type="list" allowBlank="1" showInputMessage="1" showErrorMessage="1" sqref="D3" xr:uid="{039D24F6-0E18-4187-B501-B16475D9F25E}">
      <formula1>"DEV,QA,HR,DESIGN"</formula1>
    </dataValidation>
    <dataValidation type="date" operator="greaterThan" allowBlank="1" showInputMessage="1" showErrorMessage="1" sqref="E3" xr:uid="{93BAB087-0E95-40D1-A2B9-78C9C2D4C5CA}">
      <formula1>43831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0106-9152-43C7-AB98-408506A4525F}">
  <dimension ref="A1:B5"/>
  <sheetViews>
    <sheetView workbookViewId="0">
      <selection activeCell="A2" sqref="A2"/>
    </sheetView>
  </sheetViews>
  <sheetFormatPr defaultRowHeight="15"/>
  <cols>
    <col min="1" max="1" width="13.28515625" bestFit="1" customWidth="1"/>
    <col min="2" max="2" width="17.85546875" bestFit="1" customWidth="1"/>
  </cols>
  <sheetData>
    <row r="1" spans="1:2">
      <c r="A1" t="s">
        <v>152</v>
      </c>
      <c r="B1" t="s">
        <v>153</v>
      </c>
    </row>
    <row r="2" spans="1:2">
      <c r="A2" t="s">
        <v>18</v>
      </c>
      <c r="B2" t="s">
        <v>154</v>
      </c>
    </row>
    <row r="3" spans="1:2">
      <c r="A3" t="s">
        <v>22</v>
      </c>
      <c r="B3" t="s">
        <v>155</v>
      </c>
    </row>
    <row r="4" spans="1:2">
      <c r="A4" t="s">
        <v>100</v>
      </c>
      <c r="B4" t="s">
        <v>156</v>
      </c>
    </row>
    <row r="5" spans="1:2">
      <c r="A5" t="s">
        <v>104</v>
      </c>
      <c r="B5" t="s">
        <v>157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7637-54D0-4D91-AFAF-2FA6C549FC29}">
  <dimension ref="A1:N11"/>
  <sheetViews>
    <sheetView topLeftCell="E1" workbookViewId="0">
      <selection activeCell="N11" sqref="N11"/>
    </sheetView>
  </sheetViews>
  <sheetFormatPr defaultRowHeight="15"/>
  <cols>
    <col min="1" max="1" width="13.42578125" customWidth="1"/>
    <col min="2" max="2" width="14.85546875" customWidth="1"/>
    <col min="3" max="3" width="15.28515625" customWidth="1"/>
    <col min="4" max="4" width="19.140625" customWidth="1"/>
    <col min="5" max="5" width="18.85546875" customWidth="1"/>
    <col min="6" max="6" width="18.42578125" customWidth="1"/>
    <col min="9" max="9" width="18.5703125" customWidth="1"/>
    <col min="10" max="10" width="18.42578125" customWidth="1"/>
    <col min="11" max="11" width="17" customWidth="1"/>
    <col min="12" max="12" width="16.28515625" customWidth="1"/>
    <col min="13" max="13" width="16.42578125" customWidth="1"/>
    <col min="14" max="14" width="17.42578125" customWidth="1"/>
  </cols>
  <sheetData>
    <row r="1" spans="1:14">
      <c r="A1" t="s">
        <v>158</v>
      </c>
      <c r="B1" t="s">
        <v>159</v>
      </c>
      <c r="C1" t="s">
        <v>160</v>
      </c>
      <c r="D1" t="s">
        <v>161</v>
      </c>
      <c r="E1" t="s">
        <v>26</v>
      </c>
      <c r="F1" t="s">
        <v>162</v>
      </c>
      <c r="I1" t="s">
        <v>58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</row>
    <row r="2" spans="1:14">
      <c r="A2" t="s">
        <v>98</v>
      </c>
      <c r="B2">
        <v>45000</v>
      </c>
      <c r="C2">
        <v>50000</v>
      </c>
      <c r="D2">
        <v>12</v>
      </c>
      <c r="E2">
        <v>2500</v>
      </c>
      <c r="I2" t="str">
        <f>IF(Table3[[#This Row],[Sales]]&gt;=Table3[[#This Row],[Target]],"Target met","Below Target")</f>
        <v>Below Target</v>
      </c>
      <c r="J2">
        <f>B2/C2</f>
        <v>0.9</v>
      </c>
      <c r="K2">
        <f t="shared" ref="K2:K5" si="0">D2*E2</f>
        <v>30000</v>
      </c>
      <c r="L2">
        <f>Table4[[#This Row],[Revenue]]*2%</f>
        <v>600</v>
      </c>
      <c r="M2">
        <f>Table4[[#This Row],[Revenue]]-Table4[[#This Row],[Discount Amt]]</f>
        <v>29400</v>
      </c>
      <c r="N2" s="6">
        <f>M2*$L$2</f>
        <v>17640000</v>
      </c>
    </row>
    <row r="3" spans="1:14">
      <c r="A3" t="s">
        <v>127</v>
      </c>
      <c r="B3">
        <v>62000</v>
      </c>
      <c r="C3">
        <v>60000</v>
      </c>
      <c r="D3">
        <v>18</v>
      </c>
      <c r="E3">
        <v>3000</v>
      </c>
      <c r="I3" t="str">
        <f>IF(Table3[[#This Row],[Sales]]&gt;=Table3[[#This Row],[Target]],"Target met","Below Target")</f>
        <v>Target met</v>
      </c>
      <c r="J3">
        <f t="shared" ref="J3:J5" si="1">B3/C3</f>
        <v>1.0333333333333334</v>
      </c>
      <c r="K3">
        <f t="shared" si="0"/>
        <v>54000</v>
      </c>
      <c r="L3">
        <f>Table4[[#This Row],[Revenue]]*2%</f>
        <v>1080</v>
      </c>
      <c r="M3">
        <f>Table4[[#This Row],[Revenue]]-Table4[[#This Row],[Discount Amt]]</f>
        <v>52920</v>
      </c>
      <c r="N3" s="6">
        <f t="shared" ref="N2:N5" si="2">M3*$L$2</f>
        <v>31752000</v>
      </c>
    </row>
    <row r="4" spans="1:14">
      <c r="A4" t="s">
        <v>92</v>
      </c>
      <c r="B4">
        <v>38000</v>
      </c>
      <c r="C4">
        <v>40000</v>
      </c>
      <c r="D4">
        <v>10</v>
      </c>
      <c r="E4">
        <v>2200</v>
      </c>
      <c r="I4" t="str">
        <f>IF(Table3[[#This Row],[Sales]]&gt;=Table3[[#This Row],[Target]],"Target met","Below Target")</f>
        <v>Below Target</v>
      </c>
      <c r="J4">
        <f t="shared" si="1"/>
        <v>0.95</v>
      </c>
      <c r="K4">
        <f t="shared" si="0"/>
        <v>22000</v>
      </c>
      <c r="L4">
        <f>Table4[[#This Row],[Revenue]]*2%</f>
        <v>440</v>
      </c>
      <c r="M4">
        <f>Table4[[#This Row],[Revenue]]-Table4[[#This Row],[Discount Amt]]</f>
        <v>21560</v>
      </c>
      <c r="N4" s="6">
        <f t="shared" si="2"/>
        <v>12936000</v>
      </c>
    </row>
    <row r="5" spans="1:14">
      <c r="A5" t="s">
        <v>95</v>
      </c>
      <c r="B5">
        <v>75000</v>
      </c>
      <c r="C5">
        <v>70000</v>
      </c>
      <c r="D5">
        <v>22</v>
      </c>
      <c r="E5">
        <v>3200</v>
      </c>
      <c r="I5" t="str">
        <f>IF(Table3[[#This Row],[Sales]]&gt;=Table3[[#This Row],[Target]],"Target met","Below Target")</f>
        <v>Target met</v>
      </c>
      <c r="J5">
        <f t="shared" si="1"/>
        <v>1.0714285714285714</v>
      </c>
      <c r="K5">
        <f t="shared" si="0"/>
        <v>70400</v>
      </c>
      <c r="L5">
        <f>Table4[[#This Row],[Revenue]]*2%</f>
        <v>1408</v>
      </c>
      <c r="M5">
        <f>Table4[[#This Row],[Revenue]]-Table4[[#This Row],[Discount Amt]]</f>
        <v>68992</v>
      </c>
      <c r="N5" s="6">
        <f t="shared" si="2"/>
        <v>41395200</v>
      </c>
    </row>
    <row r="7" spans="1:14">
      <c r="A7">
        <f>COUNTA(A2:A5)</f>
        <v>4</v>
      </c>
      <c r="B7">
        <f>SUM(B2:B5)</f>
        <v>220000</v>
      </c>
      <c r="D7">
        <f>SUM(D2:D5)</f>
        <v>62</v>
      </c>
      <c r="F7" t="s">
        <v>168</v>
      </c>
    </row>
    <row r="8" spans="1:14">
      <c r="B8">
        <f>AVERAGE(B2:B5)</f>
        <v>55000</v>
      </c>
      <c r="E8">
        <f>AVERAGE(E2:E5)</f>
        <v>2725</v>
      </c>
      <c r="F8" t="s">
        <v>169</v>
      </c>
    </row>
    <row r="9" spans="1:14">
      <c r="B9">
        <f>MAX(B2:B5)</f>
        <v>75000</v>
      </c>
      <c r="F9" t="s">
        <v>170</v>
      </c>
    </row>
    <row r="10" spans="1:14">
      <c r="B10">
        <f>MIN(B2:B5)</f>
        <v>38000</v>
      </c>
      <c r="F10" t="s">
        <v>171</v>
      </c>
    </row>
    <row r="11" spans="1:14">
      <c r="B11">
        <f>COUNT(B2:B5)</f>
        <v>4</v>
      </c>
      <c r="F11" t="s">
        <v>172</v>
      </c>
      <c r="G11">
        <f>COUNTBLANK(A1:F11)</f>
        <v>27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E641-80A6-4186-A0C8-D008501AB867}">
  <dimension ref="A1:L37"/>
  <sheetViews>
    <sheetView workbookViewId="0">
      <selection activeCell="L5" sqref="L5"/>
    </sheetView>
  </sheetViews>
  <sheetFormatPr defaultRowHeight="15"/>
  <cols>
    <col min="1" max="1" width="15.5703125" customWidth="1"/>
    <col min="2" max="2" width="9.85546875" bestFit="1" customWidth="1"/>
    <col min="3" max="3" width="16.140625" customWidth="1"/>
    <col min="4" max="4" width="18" customWidth="1"/>
    <col min="5" max="5" width="17.140625" customWidth="1"/>
    <col min="6" max="6" width="14.5703125" customWidth="1"/>
    <col min="7" max="7" width="15" customWidth="1"/>
    <col min="9" max="9" width="17.7109375" customWidth="1"/>
    <col min="10" max="10" width="18.42578125" customWidth="1"/>
    <col min="11" max="12" width="17.42578125" customWidth="1"/>
  </cols>
  <sheetData>
    <row r="1" spans="2:12"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I1" t="s">
        <v>179</v>
      </c>
      <c r="J1" t="s">
        <v>180</v>
      </c>
      <c r="K1" t="s">
        <v>181</v>
      </c>
      <c r="L1" t="s">
        <v>58</v>
      </c>
    </row>
    <row r="2" spans="2:12">
      <c r="B2" t="s">
        <v>182</v>
      </c>
      <c r="C2" t="s">
        <v>183</v>
      </c>
      <c r="D2">
        <v>50000</v>
      </c>
      <c r="E2">
        <v>55000</v>
      </c>
      <c r="F2">
        <v>110</v>
      </c>
      <c r="G2">
        <v>0.05</v>
      </c>
      <c r="I2">
        <f>E2-D2</f>
        <v>5000</v>
      </c>
      <c r="J2">
        <f t="shared" ref="J2:J31" si="0">E2/F2</f>
        <v>500</v>
      </c>
      <c r="K2">
        <f t="shared" ref="K2:K31" si="1">E2*G2</f>
        <v>2750</v>
      </c>
      <c r="L2" t="str">
        <f t="shared" ref="L2:L31" si="2">IF(E2&gt;=D2,"Pass","Fail")</f>
        <v>Pass</v>
      </c>
    </row>
    <row r="3" spans="2:12">
      <c r="B3" t="s">
        <v>184</v>
      </c>
      <c r="C3" t="s">
        <v>95</v>
      </c>
      <c r="D3">
        <v>45000</v>
      </c>
      <c r="F3">
        <v>85</v>
      </c>
      <c r="G3">
        <v>0.04</v>
      </c>
      <c r="I3">
        <f t="shared" ref="I3:I31" si="3">E3-D3</f>
        <v>-45000</v>
      </c>
      <c r="J3">
        <f t="shared" si="0"/>
        <v>0</v>
      </c>
      <c r="K3">
        <f t="shared" si="1"/>
        <v>0</v>
      </c>
      <c r="L3" t="str">
        <f t="shared" si="2"/>
        <v>Fail</v>
      </c>
    </row>
    <row r="4" spans="2:12">
      <c r="B4" t="s">
        <v>185</v>
      </c>
      <c r="C4" t="s">
        <v>98</v>
      </c>
      <c r="D4">
        <v>60000</v>
      </c>
      <c r="E4">
        <v>62000</v>
      </c>
      <c r="F4">
        <v>150</v>
      </c>
      <c r="G4">
        <v>0.06</v>
      </c>
      <c r="I4">
        <f t="shared" si="3"/>
        <v>2000</v>
      </c>
      <c r="J4">
        <f t="shared" si="0"/>
        <v>413.33333333333331</v>
      </c>
      <c r="K4">
        <f t="shared" si="1"/>
        <v>3720</v>
      </c>
      <c r="L4" t="str">
        <f t="shared" si="2"/>
        <v>Pass</v>
      </c>
    </row>
    <row r="5" spans="2:12">
      <c r="B5" t="s">
        <v>186</v>
      </c>
      <c r="C5" t="s">
        <v>102</v>
      </c>
      <c r="E5">
        <v>41000</v>
      </c>
      <c r="F5">
        <v>90</v>
      </c>
      <c r="G5">
        <v>0.05</v>
      </c>
      <c r="I5">
        <f t="shared" si="3"/>
        <v>41000</v>
      </c>
      <c r="J5">
        <f t="shared" si="0"/>
        <v>455.55555555555554</v>
      </c>
      <c r="K5">
        <f t="shared" si="1"/>
        <v>2050</v>
      </c>
      <c r="L5" t="str">
        <f t="shared" si="2"/>
        <v>Pass</v>
      </c>
    </row>
    <row r="6" spans="2:12">
      <c r="B6" t="s">
        <v>187</v>
      </c>
      <c r="C6" t="s">
        <v>106</v>
      </c>
      <c r="D6">
        <v>55000</v>
      </c>
      <c r="E6">
        <v>54500</v>
      </c>
      <c r="F6">
        <v>100</v>
      </c>
      <c r="G6">
        <v>0.05</v>
      </c>
      <c r="I6">
        <f t="shared" si="3"/>
        <v>-500</v>
      </c>
      <c r="J6">
        <f t="shared" si="0"/>
        <v>545</v>
      </c>
      <c r="K6">
        <f t="shared" si="1"/>
        <v>2725</v>
      </c>
      <c r="L6" t="str">
        <f t="shared" si="2"/>
        <v>Fail</v>
      </c>
    </row>
    <row r="7" spans="2:12">
      <c r="B7" t="s">
        <v>188</v>
      </c>
      <c r="C7" t="s">
        <v>109</v>
      </c>
      <c r="D7">
        <v>40000</v>
      </c>
      <c r="E7">
        <v>48000</v>
      </c>
      <c r="F7">
        <v>120</v>
      </c>
      <c r="G7">
        <v>7.0000000000000007E-2</v>
      </c>
      <c r="I7">
        <f t="shared" si="3"/>
        <v>8000</v>
      </c>
      <c r="J7">
        <f t="shared" si="0"/>
        <v>400</v>
      </c>
      <c r="K7">
        <f t="shared" si="1"/>
        <v>3360.0000000000005</v>
      </c>
      <c r="L7" t="str">
        <f t="shared" si="2"/>
        <v>Pass</v>
      </c>
    </row>
    <row r="8" spans="2:12">
      <c r="B8" t="s">
        <v>189</v>
      </c>
      <c r="C8" t="s">
        <v>112</v>
      </c>
      <c r="D8">
        <v>50000</v>
      </c>
      <c r="E8">
        <v>39000</v>
      </c>
      <c r="F8">
        <v>75</v>
      </c>
      <c r="G8">
        <v>0.04</v>
      </c>
      <c r="I8">
        <f t="shared" si="3"/>
        <v>-11000</v>
      </c>
      <c r="J8">
        <f t="shared" si="0"/>
        <v>520</v>
      </c>
      <c r="K8">
        <f t="shared" si="1"/>
        <v>1560</v>
      </c>
      <c r="L8" t="str">
        <f t="shared" si="2"/>
        <v>Fail</v>
      </c>
    </row>
    <row r="9" spans="2:12">
      <c r="B9" t="s">
        <v>190</v>
      </c>
      <c r="C9" t="s">
        <v>115</v>
      </c>
      <c r="D9">
        <v>65000</v>
      </c>
      <c r="E9">
        <v>66000</v>
      </c>
      <c r="F9">
        <v>200</v>
      </c>
      <c r="I9">
        <f t="shared" si="3"/>
        <v>1000</v>
      </c>
      <c r="J9">
        <f t="shared" si="0"/>
        <v>330</v>
      </c>
      <c r="K9">
        <f t="shared" si="1"/>
        <v>0</v>
      </c>
      <c r="L9" t="str">
        <f t="shared" si="2"/>
        <v>Pass</v>
      </c>
    </row>
    <row r="10" spans="2:12">
      <c r="B10" t="s">
        <v>191</v>
      </c>
      <c r="C10" t="s">
        <v>118</v>
      </c>
      <c r="E10">
        <v>51000</v>
      </c>
      <c r="F10">
        <v>105</v>
      </c>
      <c r="G10">
        <v>0.05</v>
      </c>
      <c r="I10">
        <f t="shared" si="3"/>
        <v>51000</v>
      </c>
      <c r="J10">
        <f t="shared" si="0"/>
        <v>485.71428571428572</v>
      </c>
      <c r="K10">
        <f t="shared" si="1"/>
        <v>2550</v>
      </c>
      <c r="L10" t="str">
        <f t="shared" si="2"/>
        <v>Pass</v>
      </c>
    </row>
    <row r="11" spans="2:12">
      <c r="B11" t="s">
        <v>192</v>
      </c>
      <c r="C11" t="s">
        <v>121</v>
      </c>
      <c r="D11">
        <v>45000</v>
      </c>
      <c r="E11">
        <v>45000</v>
      </c>
      <c r="F11">
        <v>95</v>
      </c>
      <c r="G11">
        <v>0.05</v>
      </c>
      <c r="I11">
        <f t="shared" si="3"/>
        <v>0</v>
      </c>
      <c r="J11">
        <f t="shared" si="0"/>
        <v>473.68421052631578</v>
      </c>
      <c r="K11">
        <f t="shared" si="1"/>
        <v>2250</v>
      </c>
      <c r="L11" t="str">
        <f t="shared" si="2"/>
        <v>Pass</v>
      </c>
    </row>
    <row r="12" spans="2:12">
      <c r="B12" t="s">
        <v>193</v>
      </c>
      <c r="C12" t="s">
        <v>124</v>
      </c>
      <c r="D12">
        <v>70000</v>
      </c>
      <c r="E12">
        <v>72000</v>
      </c>
      <c r="F12">
        <v>210</v>
      </c>
      <c r="G12">
        <v>0.08</v>
      </c>
      <c r="I12">
        <f t="shared" si="3"/>
        <v>2000</v>
      </c>
      <c r="J12">
        <f t="shared" si="0"/>
        <v>342.85714285714283</v>
      </c>
      <c r="K12">
        <f t="shared" si="1"/>
        <v>5760</v>
      </c>
      <c r="L12" t="str">
        <f t="shared" si="2"/>
        <v>Pass</v>
      </c>
    </row>
    <row r="13" spans="2:12">
      <c r="B13" t="s">
        <v>194</v>
      </c>
      <c r="C13" t="s">
        <v>127</v>
      </c>
      <c r="D13">
        <v>40000</v>
      </c>
      <c r="F13">
        <v>60</v>
      </c>
      <c r="G13">
        <v>0.04</v>
      </c>
      <c r="I13">
        <f t="shared" si="3"/>
        <v>-40000</v>
      </c>
      <c r="J13">
        <f t="shared" si="0"/>
        <v>0</v>
      </c>
      <c r="K13">
        <f t="shared" si="1"/>
        <v>0</v>
      </c>
      <c r="L13" t="str">
        <f t="shared" si="2"/>
        <v>Fail</v>
      </c>
    </row>
    <row r="14" spans="2:12">
      <c r="B14" t="s">
        <v>195</v>
      </c>
      <c r="C14" t="s">
        <v>130</v>
      </c>
      <c r="D14">
        <v>55000</v>
      </c>
      <c r="E14">
        <v>50000</v>
      </c>
      <c r="F14">
        <v>115</v>
      </c>
      <c r="G14">
        <v>0.05</v>
      </c>
      <c r="I14">
        <f t="shared" si="3"/>
        <v>-5000</v>
      </c>
      <c r="J14">
        <f t="shared" si="0"/>
        <v>434.78260869565219</v>
      </c>
      <c r="K14">
        <f t="shared" si="1"/>
        <v>2500</v>
      </c>
      <c r="L14" t="str">
        <f t="shared" si="2"/>
        <v>Fail</v>
      </c>
    </row>
    <row r="15" spans="2:12">
      <c r="B15" t="s">
        <v>196</v>
      </c>
      <c r="C15" t="s">
        <v>133</v>
      </c>
      <c r="D15">
        <v>50000</v>
      </c>
      <c r="E15">
        <v>53000</v>
      </c>
      <c r="F15">
        <v>105</v>
      </c>
      <c r="G15">
        <v>0.06</v>
      </c>
      <c r="I15">
        <f t="shared" si="3"/>
        <v>3000</v>
      </c>
      <c r="J15">
        <f t="shared" si="0"/>
        <v>504.76190476190476</v>
      </c>
      <c r="K15">
        <f t="shared" si="1"/>
        <v>3180</v>
      </c>
      <c r="L15" t="str">
        <f t="shared" si="2"/>
        <v>Pass</v>
      </c>
    </row>
    <row r="16" spans="2:12">
      <c r="B16" t="s">
        <v>197</v>
      </c>
      <c r="C16" t="s">
        <v>136</v>
      </c>
      <c r="D16">
        <v>60000</v>
      </c>
      <c r="E16">
        <v>59000</v>
      </c>
      <c r="F16">
        <v>140</v>
      </c>
      <c r="G16">
        <v>0.05</v>
      </c>
      <c r="I16">
        <f t="shared" si="3"/>
        <v>-1000</v>
      </c>
      <c r="J16">
        <f t="shared" si="0"/>
        <v>421.42857142857144</v>
      </c>
      <c r="K16">
        <f t="shared" si="1"/>
        <v>2950</v>
      </c>
      <c r="L16" t="str">
        <f t="shared" si="2"/>
        <v>Fail</v>
      </c>
    </row>
    <row r="17" spans="2:12">
      <c r="B17" t="s">
        <v>198</v>
      </c>
      <c r="C17" t="s">
        <v>139</v>
      </c>
      <c r="E17">
        <v>61000</v>
      </c>
      <c r="F17">
        <v>150</v>
      </c>
      <c r="G17">
        <v>0.06</v>
      </c>
      <c r="I17">
        <f t="shared" si="3"/>
        <v>61000</v>
      </c>
      <c r="J17">
        <f t="shared" si="0"/>
        <v>406.66666666666669</v>
      </c>
      <c r="K17">
        <f t="shared" si="1"/>
        <v>3660</v>
      </c>
      <c r="L17" t="str">
        <f t="shared" si="2"/>
        <v>Pass</v>
      </c>
    </row>
    <row r="18" spans="2:12">
      <c r="B18" t="s">
        <v>199</v>
      </c>
      <c r="C18" t="s">
        <v>92</v>
      </c>
      <c r="D18">
        <v>45000</v>
      </c>
      <c r="E18">
        <v>47000</v>
      </c>
      <c r="F18">
        <v>100</v>
      </c>
      <c r="G18">
        <v>0.05</v>
      </c>
      <c r="I18">
        <f t="shared" si="3"/>
        <v>2000</v>
      </c>
      <c r="J18">
        <f t="shared" si="0"/>
        <v>470</v>
      </c>
      <c r="K18">
        <f t="shared" si="1"/>
        <v>2350</v>
      </c>
      <c r="L18" t="str">
        <f t="shared" si="2"/>
        <v>Pass</v>
      </c>
    </row>
    <row r="19" spans="2:12">
      <c r="B19" t="s">
        <v>200</v>
      </c>
      <c r="C19" t="s">
        <v>144</v>
      </c>
      <c r="D19">
        <v>55000</v>
      </c>
      <c r="E19">
        <v>51000</v>
      </c>
      <c r="F19">
        <v>110</v>
      </c>
      <c r="G19">
        <v>0.05</v>
      </c>
      <c r="I19">
        <f t="shared" si="3"/>
        <v>-4000</v>
      </c>
      <c r="J19">
        <f t="shared" si="0"/>
        <v>463.63636363636363</v>
      </c>
      <c r="K19">
        <f t="shared" si="1"/>
        <v>2550</v>
      </c>
      <c r="L19" t="str">
        <f t="shared" si="2"/>
        <v>Fail</v>
      </c>
    </row>
    <row r="20" spans="2:12">
      <c r="B20" t="s">
        <v>201</v>
      </c>
      <c r="C20" t="s">
        <v>147</v>
      </c>
      <c r="D20">
        <v>50000</v>
      </c>
      <c r="E20">
        <v>50000</v>
      </c>
      <c r="F20">
        <v>105</v>
      </c>
      <c r="G20">
        <v>0.05</v>
      </c>
      <c r="I20">
        <f t="shared" si="3"/>
        <v>0</v>
      </c>
      <c r="J20">
        <f t="shared" si="0"/>
        <v>476.1904761904762</v>
      </c>
      <c r="K20">
        <f t="shared" si="1"/>
        <v>2500</v>
      </c>
      <c r="L20" t="str">
        <f t="shared" si="2"/>
        <v>Pass</v>
      </c>
    </row>
    <row r="21" spans="2:12">
      <c r="B21" t="s">
        <v>202</v>
      </c>
      <c r="C21" t="s">
        <v>150</v>
      </c>
      <c r="D21">
        <v>60000</v>
      </c>
      <c r="E21">
        <v>63000</v>
      </c>
      <c r="F21">
        <v>160</v>
      </c>
      <c r="G21">
        <v>7.0000000000000007E-2</v>
      </c>
      <c r="I21">
        <f t="shared" si="3"/>
        <v>3000</v>
      </c>
      <c r="J21">
        <f t="shared" si="0"/>
        <v>393.75</v>
      </c>
      <c r="K21">
        <f t="shared" si="1"/>
        <v>4410</v>
      </c>
      <c r="L21" t="str">
        <f t="shared" si="2"/>
        <v>Pass</v>
      </c>
    </row>
    <row r="22" spans="2:12">
      <c r="B22" t="s">
        <v>203</v>
      </c>
      <c r="C22" t="s">
        <v>204</v>
      </c>
      <c r="D22">
        <v>45000</v>
      </c>
      <c r="F22">
        <v>80</v>
      </c>
      <c r="G22">
        <v>0.04</v>
      </c>
      <c r="I22">
        <f t="shared" si="3"/>
        <v>-45000</v>
      </c>
      <c r="J22">
        <f t="shared" si="0"/>
        <v>0</v>
      </c>
      <c r="K22">
        <f t="shared" si="1"/>
        <v>0</v>
      </c>
      <c r="L22" t="str">
        <f t="shared" si="2"/>
        <v>Fail</v>
      </c>
    </row>
    <row r="23" spans="2:12">
      <c r="B23" t="s">
        <v>205</v>
      </c>
      <c r="C23" t="s">
        <v>206</v>
      </c>
      <c r="D23">
        <v>55000</v>
      </c>
      <c r="E23">
        <v>58000</v>
      </c>
      <c r="F23">
        <v>130</v>
      </c>
      <c r="G23">
        <v>0.06</v>
      </c>
      <c r="I23">
        <f t="shared" si="3"/>
        <v>3000</v>
      </c>
      <c r="J23">
        <f t="shared" si="0"/>
        <v>446.15384615384613</v>
      </c>
      <c r="K23">
        <f t="shared" si="1"/>
        <v>3480</v>
      </c>
      <c r="L23" t="str">
        <f t="shared" si="2"/>
        <v>Pass</v>
      </c>
    </row>
    <row r="24" spans="2:12">
      <c r="B24" t="s">
        <v>207</v>
      </c>
      <c r="C24" t="s">
        <v>208</v>
      </c>
      <c r="E24">
        <v>42000</v>
      </c>
      <c r="F24">
        <v>95</v>
      </c>
      <c r="G24">
        <v>0.05</v>
      </c>
      <c r="I24">
        <f t="shared" si="3"/>
        <v>42000</v>
      </c>
      <c r="J24">
        <f t="shared" si="0"/>
        <v>442.10526315789474</v>
      </c>
      <c r="K24">
        <f t="shared" si="1"/>
        <v>2100</v>
      </c>
      <c r="L24" t="str">
        <f t="shared" si="2"/>
        <v>Pass</v>
      </c>
    </row>
    <row r="25" spans="2:12">
      <c r="B25" t="s">
        <v>209</v>
      </c>
      <c r="C25" t="s">
        <v>210</v>
      </c>
      <c r="D25">
        <v>65000</v>
      </c>
      <c r="E25">
        <v>64000</v>
      </c>
      <c r="F25">
        <v>170</v>
      </c>
      <c r="G25">
        <v>0.06</v>
      </c>
      <c r="I25">
        <f t="shared" si="3"/>
        <v>-1000</v>
      </c>
      <c r="J25">
        <f t="shared" si="0"/>
        <v>376.47058823529414</v>
      </c>
      <c r="K25">
        <f t="shared" si="1"/>
        <v>3840</v>
      </c>
      <c r="L25" t="str">
        <f t="shared" si="2"/>
        <v>Fail</v>
      </c>
    </row>
    <row r="26" spans="2:12">
      <c r="B26" t="s">
        <v>211</v>
      </c>
      <c r="C26" t="s">
        <v>212</v>
      </c>
      <c r="D26">
        <v>40000</v>
      </c>
      <c r="E26">
        <v>41000</v>
      </c>
      <c r="F26">
        <v>85</v>
      </c>
      <c r="G26">
        <v>0.05</v>
      </c>
      <c r="I26">
        <f t="shared" si="3"/>
        <v>1000</v>
      </c>
      <c r="J26">
        <f t="shared" si="0"/>
        <v>482.35294117647061</v>
      </c>
      <c r="K26">
        <f t="shared" si="1"/>
        <v>2050</v>
      </c>
      <c r="L26" t="str">
        <f t="shared" si="2"/>
        <v>Pass</v>
      </c>
    </row>
    <row r="27" spans="2:12">
      <c r="B27" t="s">
        <v>213</v>
      </c>
      <c r="C27" t="s">
        <v>214</v>
      </c>
      <c r="D27">
        <v>50000</v>
      </c>
      <c r="E27">
        <v>55000</v>
      </c>
      <c r="F27">
        <v>115</v>
      </c>
      <c r="G27">
        <v>0.06</v>
      </c>
      <c r="I27">
        <f t="shared" si="3"/>
        <v>5000</v>
      </c>
      <c r="J27">
        <f t="shared" si="0"/>
        <v>478.26086956521738</v>
      </c>
      <c r="K27">
        <f t="shared" si="1"/>
        <v>3300</v>
      </c>
      <c r="L27" t="str">
        <f t="shared" si="2"/>
        <v>Pass</v>
      </c>
    </row>
    <row r="28" spans="2:12">
      <c r="B28" t="s">
        <v>215</v>
      </c>
      <c r="C28" t="s">
        <v>216</v>
      </c>
      <c r="D28">
        <v>55000</v>
      </c>
      <c r="E28">
        <v>49000</v>
      </c>
      <c r="F28">
        <v>100</v>
      </c>
      <c r="G28">
        <v>0.04</v>
      </c>
      <c r="I28">
        <f t="shared" si="3"/>
        <v>-6000</v>
      </c>
      <c r="J28">
        <f t="shared" si="0"/>
        <v>490</v>
      </c>
      <c r="K28">
        <f t="shared" si="1"/>
        <v>1960</v>
      </c>
      <c r="L28" t="str">
        <f t="shared" si="2"/>
        <v>Fail</v>
      </c>
    </row>
    <row r="29" spans="2:12">
      <c r="B29" t="s">
        <v>217</v>
      </c>
      <c r="C29" t="s">
        <v>218</v>
      </c>
      <c r="D29">
        <v>60000</v>
      </c>
      <c r="E29">
        <v>65000</v>
      </c>
      <c r="F29">
        <v>155</v>
      </c>
      <c r="G29">
        <v>7.0000000000000007E-2</v>
      </c>
      <c r="I29">
        <f t="shared" si="3"/>
        <v>5000</v>
      </c>
      <c r="J29">
        <f t="shared" si="0"/>
        <v>419.35483870967744</v>
      </c>
      <c r="K29">
        <f t="shared" si="1"/>
        <v>4550</v>
      </c>
      <c r="L29" t="str">
        <f t="shared" si="2"/>
        <v>Pass</v>
      </c>
    </row>
    <row r="30" spans="2:12">
      <c r="B30" t="s">
        <v>219</v>
      </c>
      <c r="C30" t="s">
        <v>220</v>
      </c>
      <c r="D30">
        <v>45000</v>
      </c>
      <c r="E30">
        <v>48000</v>
      </c>
      <c r="F30">
        <v>110</v>
      </c>
      <c r="I30">
        <f t="shared" si="3"/>
        <v>3000</v>
      </c>
      <c r="J30">
        <f t="shared" si="0"/>
        <v>436.36363636363637</v>
      </c>
      <c r="K30">
        <f t="shared" si="1"/>
        <v>0</v>
      </c>
      <c r="L30" t="str">
        <f t="shared" si="2"/>
        <v>Pass</v>
      </c>
    </row>
    <row r="31" spans="2:12">
      <c r="B31" t="s">
        <v>221</v>
      </c>
      <c r="C31" t="s">
        <v>222</v>
      </c>
      <c r="D31">
        <v>50000</v>
      </c>
      <c r="F31">
        <v>90</v>
      </c>
      <c r="G31">
        <v>0.04</v>
      </c>
      <c r="I31">
        <f t="shared" si="3"/>
        <v>-50000</v>
      </c>
      <c r="J31">
        <f t="shared" si="0"/>
        <v>0</v>
      </c>
      <c r="K31">
        <f t="shared" si="1"/>
        <v>0</v>
      </c>
      <c r="L31" t="str">
        <f t="shared" si="2"/>
        <v>Fail</v>
      </c>
    </row>
    <row r="33" spans="1:5">
      <c r="C33">
        <f>COUNTA(C2:C31)</f>
        <v>30</v>
      </c>
      <c r="D33">
        <f>COUNTBLANK(D2:D31)</f>
        <v>4</v>
      </c>
      <c r="E33">
        <f>COUNT(E2:E31)</f>
        <v>26</v>
      </c>
    </row>
    <row r="34" spans="1:5">
      <c r="A34" t="s">
        <v>168</v>
      </c>
      <c r="E34">
        <f>SUM(E2:E31)</f>
        <v>1389500</v>
      </c>
    </row>
    <row r="35" spans="1:5">
      <c r="A35" t="s">
        <v>169</v>
      </c>
      <c r="E35">
        <f>AVERAGE(E2:E31)</f>
        <v>53442.307692307695</v>
      </c>
    </row>
    <row r="36" spans="1:5">
      <c r="A36" t="s">
        <v>170</v>
      </c>
      <c r="E36">
        <f>MAX(E2:E31)</f>
        <v>72000</v>
      </c>
    </row>
    <row r="37" spans="1:5">
      <c r="A37" t="s">
        <v>171</v>
      </c>
      <c r="E37">
        <f>MIN(E2:E31)</f>
        <v>39000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BCE5-889E-4689-ABA1-A6F5E67D48E2}">
  <dimension ref="B1:K20"/>
  <sheetViews>
    <sheetView workbookViewId="0">
      <selection activeCell="I12" sqref="I12"/>
    </sheetView>
  </sheetViews>
  <sheetFormatPr defaultRowHeight="15"/>
  <cols>
    <col min="2" max="2" width="10.5703125" bestFit="1" customWidth="1"/>
    <col min="3" max="3" width="12.140625" customWidth="1"/>
    <col min="4" max="4" width="14.7109375" bestFit="1" customWidth="1"/>
    <col min="5" max="5" width="16.42578125" bestFit="1" customWidth="1"/>
    <col min="6" max="6" width="12.140625" bestFit="1" customWidth="1"/>
    <col min="7" max="7" width="13" bestFit="1" customWidth="1"/>
    <col min="9" max="9" width="18.7109375" customWidth="1"/>
    <col min="10" max="10" width="18.28515625" customWidth="1"/>
    <col min="12" max="12" width="17.7109375" customWidth="1"/>
  </cols>
  <sheetData>
    <row r="1" spans="2:11"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177</v>
      </c>
      <c r="I1" t="s">
        <v>228</v>
      </c>
      <c r="J1" t="s">
        <v>229</v>
      </c>
      <c r="K1" t="s">
        <v>230</v>
      </c>
    </row>
    <row r="2" spans="2:11">
      <c r="B2" t="s">
        <v>231</v>
      </c>
      <c r="C2" t="s">
        <v>28</v>
      </c>
      <c r="D2">
        <v>45</v>
      </c>
      <c r="E2">
        <v>50</v>
      </c>
      <c r="F2">
        <v>800</v>
      </c>
      <c r="G2">
        <v>5</v>
      </c>
      <c r="I2">
        <f t="shared" ref="I2:I16" si="0">G2-D2</f>
        <v>-40</v>
      </c>
      <c r="J2">
        <f t="shared" ref="J2:J16" si="1">G2*F2</f>
        <v>4000</v>
      </c>
      <c r="K2" s="9" t="str">
        <f t="shared" ref="K2:K16" si="2">IF(D2&lt;=E2,"Order","Skip")</f>
        <v>Order</v>
      </c>
    </row>
    <row r="3" spans="2:11">
      <c r="B3" t="s">
        <v>232</v>
      </c>
      <c r="C3" t="s">
        <v>233</v>
      </c>
      <c r="D3">
        <v>150</v>
      </c>
      <c r="E3">
        <v>100</v>
      </c>
      <c r="F3">
        <v>25</v>
      </c>
      <c r="G3">
        <v>20</v>
      </c>
      <c r="I3">
        <f t="shared" si="0"/>
        <v>-130</v>
      </c>
      <c r="J3">
        <f t="shared" si="1"/>
        <v>500</v>
      </c>
      <c r="K3" s="9" t="str">
        <f t="shared" si="2"/>
        <v>Skip</v>
      </c>
    </row>
    <row r="4" spans="2:11">
      <c r="B4" t="s">
        <v>234</v>
      </c>
      <c r="C4" t="s">
        <v>30</v>
      </c>
      <c r="E4">
        <v>50</v>
      </c>
      <c r="F4">
        <v>45</v>
      </c>
      <c r="G4">
        <v>12</v>
      </c>
      <c r="I4">
        <f t="shared" si="0"/>
        <v>12</v>
      </c>
      <c r="J4">
        <f t="shared" si="1"/>
        <v>540</v>
      </c>
      <c r="K4" s="9" t="str">
        <f t="shared" si="2"/>
        <v>Order</v>
      </c>
    </row>
    <row r="5" spans="2:11">
      <c r="B5" t="s">
        <v>235</v>
      </c>
      <c r="C5" t="s">
        <v>29</v>
      </c>
      <c r="D5">
        <v>20</v>
      </c>
      <c r="E5">
        <v>30</v>
      </c>
      <c r="F5">
        <v>200</v>
      </c>
      <c r="G5">
        <v>8</v>
      </c>
      <c r="I5">
        <f t="shared" si="0"/>
        <v>-12</v>
      </c>
      <c r="J5">
        <f t="shared" si="1"/>
        <v>1600</v>
      </c>
      <c r="K5" s="9" t="str">
        <f t="shared" si="2"/>
        <v>Order</v>
      </c>
    </row>
    <row r="6" spans="2:11">
      <c r="B6" t="s">
        <v>236</v>
      </c>
      <c r="C6" t="s">
        <v>237</v>
      </c>
      <c r="D6">
        <v>80</v>
      </c>
      <c r="E6">
        <v>50</v>
      </c>
      <c r="F6">
        <v>60</v>
      </c>
      <c r="I6">
        <f t="shared" si="0"/>
        <v>-80</v>
      </c>
      <c r="J6">
        <f t="shared" si="1"/>
        <v>0</v>
      </c>
      <c r="K6" s="9" t="str">
        <f t="shared" si="2"/>
        <v>Skip</v>
      </c>
    </row>
    <row r="7" spans="2:11">
      <c r="B7" t="s">
        <v>238</v>
      </c>
      <c r="C7" t="s">
        <v>239</v>
      </c>
      <c r="D7">
        <v>15</v>
      </c>
      <c r="E7">
        <v>20</v>
      </c>
      <c r="F7">
        <v>85</v>
      </c>
      <c r="G7">
        <v>10</v>
      </c>
      <c r="I7">
        <f t="shared" si="0"/>
        <v>-5</v>
      </c>
      <c r="J7">
        <f t="shared" si="1"/>
        <v>850</v>
      </c>
      <c r="K7" s="9" t="str">
        <f t="shared" si="2"/>
        <v>Order</v>
      </c>
    </row>
    <row r="8" spans="2:11">
      <c r="B8" t="s">
        <v>240</v>
      </c>
      <c r="C8" t="s">
        <v>241</v>
      </c>
      <c r="D8">
        <v>10</v>
      </c>
      <c r="E8">
        <v>15</v>
      </c>
      <c r="F8">
        <v>150</v>
      </c>
      <c r="G8">
        <v>2</v>
      </c>
      <c r="I8">
        <f t="shared" si="0"/>
        <v>-8</v>
      </c>
      <c r="J8">
        <f t="shared" si="1"/>
        <v>300</v>
      </c>
      <c r="K8" s="9" t="str">
        <f t="shared" si="2"/>
        <v>Order</v>
      </c>
    </row>
    <row r="9" spans="2:11">
      <c r="B9" t="s">
        <v>242</v>
      </c>
      <c r="C9" t="s">
        <v>243</v>
      </c>
      <c r="D9">
        <v>300</v>
      </c>
      <c r="E9">
        <v>100</v>
      </c>
      <c r="F9">
        <v>15</v>
      </c>
      <c r="G9">
        <v>50</v>
      </c>
      <c r="I9">
        <f t="shared" si="0"/>
        <v>-250</v>
      </c>
      <c r="J9">
        <f t="shared" si="1"/>
        <v>750</v>
      </c>
      <c r="K9" s="9" t="str">
        <f t="shared" si="2"/>
        <v>Skip</v>
      </c>
    </row>
    <row r="10" spans="2:11">
      <c r="B10" t="s">
        <v>244</v>
      </c>
      <c r="C10" t="s">
        <v>245</v>
      </c>
      <c r="D10">
        <v>0</v>
      </c>
      <c r="E10">
        <v>10</v>
      </c>
      <c r="F10">
        <v>400</v>
      </c>
      <c r="G10">
        <v>0</v>
      </c>
      <c r="I10">
        <f t="shared" si="0"/>
        <v>0</v>
      </c>
      <c r="J10">
        <f t="shared" si="1"/>
        <v>0</v>
      </c>
      <c r="K10" s="9" t="str">
        <f t="shared" si="2"/>
        <v>Order</v>
      </c>
    </row>
    <row r="11" spans="2:11">
      <c r="B11" t="s">
        <v>246</v>
      </c>
      <c r="C11" t="s">
        <v>247</v>
      </c>
      <c r="E11">
        <v>25</v>
      </c>
      <c r="F11">
        <v>120</v>
      </c>
      <c r="G11">
        <v>5</v>
      </c>
      <c r="I11">
        <f t="shared" si="0"/>
        <v>5</v>
      </c>
      <c r="J11">
        <f t="shared" si="1"/>
        <v>600</v>
      </c>
      <c r="K11" s="9" t="str">
        <f t="shared" si="2"/>
        <v>Order</v>
      </c>
    </row>
    <row r="12" spans="2:11">
      <c r="B12" t="s">
        <v>248</v>
      </c>
      <c r="C12" t="s">
        <v>249</v>
      </c>
      <c r="D12">
        <v>22</v>
      </c>
      <c r="E12">
        <v>30</v>
      </c>
      <c r="F12">
        <v>300</v>
      </c>
      <c r="G12">
        <v>4</v>
      </c>
      <c r="I12">
        <f t="shared" si="0"/>
        <v>-18</v>
      </c>
      <c r="J12">
        <f t="shared" si="1"/>
        <v>1200</v>
      </c>
      <c r="K12" s="9" t="str">
        <f t="shared" si="2"/>
        <v>Order</v>
      </c>
    </row>
    <row r="13" spans="2:11">
      <c r="B13" t="s">
        <v>250</v>
      </c>
      <c r="C13" t="s">
        <v>251</v>
      </c>
      <c r="D13">
        <v>5</v>
      </c>
      <c r="E13">
        <v>5</v>
      </c>
      <c r="F13">
        <v>2500</v>
      </c>
      <c r="G13">
        <v>1</v>
      </c>
      <c r="I13">
        <f t="shared" si="0"/>
        <v>-4</v>
      </c>
      <c r="J13">
        <f t="shared" si="1"/>
        <v>2500</v>
      </c>
      <c r="K13" s="9" t="str">
        <f t="shared" si="2"/>
        <v>Order</v>
      </c>
    </row>
    <row r="14" spans="2:11">
      <c r="B14" t="s">
        <v>252</v>
      </c>
      <c r="C14" t="s">
        <v>253</v>
      </c>
      <c r="E14">
        <v>50</v>
      </c>
      <c r="F14">
        <v>75</v>
      </c>
      <c r="G14">
        <v>15</v>
      </c>
      <c r="I14">
        <f t="shared" si="0"/>
        <v>15</v>
      </c>
      <c r="J14">
        <f t="shared" si="1"/>
        <v>1125</v>
      </c>
      <c r="K14" s="9" t="str">
        <f t="shared" si="2"/>
        <v>Order</v>
      </c>
    </row>
    <row r="15" spans="2:11">
      <c r="B15" t="s">
        <v>254</v>
      </c>
      <c r="C15" t="s">
        <v>255</v>
      </c>
      <c r="D15">
        <v>40</v>
      </c>
      <c r="E15">
        <v>20</v>
      </c>
      <c r="F15">
        <v>110</v>
      </c>
      <c r="I15">
        <f t="shared" si="0"/>
        <v>-40</v>
      </c>
      <c r="J15">
        <f t="shared" si="1"/>
        <v>0</v>
      </c>
      <c r="K15" s="9" t="str">
        <f t="shared" si="2"/>
        <v>Skip</v>
      </c>
    </row>
    <row r="16" spans="2:11">
      <c r="B16" t="s">
        <v>256</v>
      </c>
      <c r="C16" t="s">
        <v>257</v>
      </c>
      <c r="D16">
        <v>8</v>
      </c>
      <c r="E16">
        <v>10</v>
      </c>
      <c r="F16">
        <v>600</v>
      </c>
      <c r="G16">
        <v>3</v>
      </c>
      <c r="I16">
        <f t="shared" si="0"/>
        <v>-5</v>
      </c>
      <c r="J16">
        <f t="shared" si="1"/>
        <v>1800</v>
      </c>
      <c r="K16" s="9" t="str">
        <f t="shared" si="2"/>
        <v>Order</v>
      </c>
    </row>
    <row r="18" spans="3:7">
      <c r="C18">
        <f>COUNTA(Table7[Product])</f>
        <v>15</v>
      </c>
      <c r="D18">
        <f>COUNTBLANK(Table7[Stock_Count])</f>
        <v>3</v>
      </c>
      <c r="F18">
        <f>MAX(Table7[Unit_Cost])</f>
        <v>2500</v>
      </c>
      <c r="G18">
        <f>COUNT(Table7[Units_Sold])</f>
        <v>13</v>
      </c>
    </row>
    <row r="19" spans="3:7">
      <c r="F19">
        <f>MIN(Table7[Unit_Cost])</f>
        <v>15</v>
      </c>
      <c r="G19">
        <f>SUM(Table7[Units_Sold])</f>
        <v>135</v>
      </c>
    </row>
    <row r="20" spans="3:7">
      <c r="F20">
        <f>AVERAGE(Table7[Unit_Cost])</f>
        <v>365.66666666666669</v>
      </c>
    </row>
  </sheetData>
  <conditionalFormatting sqref="K2:K16">
    <cfRule type="containsText" dxfId="19" priority="1" operator="containsText" text="Order">
      <formula>NOT(ISERROR(SEARCH("Order",K2)))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C097-A050-4EF6-A524-930B1173D4D8}">
  <dimension ref="B1:E11"/>
  <sheetViews>
    <sheetView workbookViewId="0">
      <selection activeCell="E2" sqref="E2"/>
    </sheetView>
  </sheetViews>
  <sheetFormatPr defaultRowHeight="15"/>
  <cols>
    <col min="2" max="2" width="16.28515625" customWidth="1"/>
    <col min="3" max="3" width="14.7109375" customWidth="1"/>
    <col min="5" max="5" width="18.28515625" customWidth="1"/>
  </cols>
  <sheetData>
    <row r="1" spans="2:5">
      <c r="B1" t="s">
        <v>258</v>
      </c>
      <c r="C1" s="10" t="s">
        <v>259</v>
      </c>
      <c r="D1" t="s">
        <v>260</v>
      </c>
      <c r="E1" t="s">
        <v>261</v>
      </c>
    </row>
    <row r="2" spans="2:5">
      <c r="B2" t="s">
        <v>98</v>
      </c>
      <c r="C2" s="10">
        <v>0.56000000000000005</v>
      </c>
      <c r="D2" t="str">
        <f>IF(C2&gt;=40%,"Pass","Fail")</f>
        <v>Pass</v>
      </c>
    </row>
    <row r="3" spans="2:5">
      <c r="B3" t="s">
        <v>56</v>
      </c>
      <c r="C3" s="10">
        <v>0.65</v>
      </c>
      <c r="D3" t="str">
        <f t="shared" ref="D3:D11" si="0">IF(C3&gt;=40%,"Pass","Fail")</f>
        <v>Pass</v>
      </c>
    </row>
    <row r="4" spans="2:5">
      <c r="B4" t="s">
        <v>262</v>
      </c>
      <c r="C4" s="10">
        <v>0.25</v>
      </c>
      <c r="D4" t="str">
        <f t="shared" si="0"/>
        <v>Fail</v>
      </c>
    </row>
    <row r="5" spans="2:5">
      <c r="B5" t="s">
        <v>263</v>
      </c>
      <c r="C5" s="10">
        <v>0.97</v>
      </c>
      <c r="D5" t="str">
        <f t="shared" si="0"/>
        <v>Pass</v>
      </c>
    </row>
    <row r="6" spans="2:5">
      <c r="B6" t="s">
        <v>264</v>
      </c>
      <c r="C6" s="10">
        <v>0.59</v>
      </c>
      <c r="D6" t="str">
        <f t="shared" si="0"/>
        <v>Pass</v>
      </c>
    </row>
    <row r="7" spans="2:5">
      <c r="B7" t="s">
        <v>265</v>
      </c>
      <c r="C7" s="10">
        <v>0.64</v>
      </c>
      <c r="D7" t="str">
        <f t="shared" si="0"/>
        <v>Pass</v>
      </c>
    </row>
    <row r="8" spans="2:5">
      <c r="B8" t="s">
        <v>266</v>
      </c>
      <c r="C8" s="10">
        <v>0.32</v>
      </c>
      <c r="D8" t="str">
        <f t="shared" si="0"/>
        <v>Fail</v>
      </c>
    </row>
    <row r="9" spans="2:5">
      <c r="B9" t="s">
        <v>267</v>
      </c>
      <c r="C9" s="10">
        <v>0.78</v>
      </c>
      <c r="D9" t="str">
        <f t="shared" si="0"/>
        <v>Pass</v>
      </c>
    </row>
    <row r="10" spans="2:5">
      <c r="B10" t="s">
        <v>268</v>
      </c>
      <c r="C10" s="10">
        <v>0.65</v>
      </c>
      <c r="D10" t="str">
        <f t="shared" si="0"/>
        <v>Pass</v>
      </c>
    </row>
    <row r="11" spans="2:5">
      <c r="B11" t="s">
        <v>269</v>
      </c>
      <c r="C11" s="10">
        <v>0.34</v>
      </c>
      <c r="D11" t="str">
        <f t="shared" si="0"/>
        <v>Fail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217F-AB7D-43C8-BE63-C56183AD971A}">
  <dimension ref="B1:K16"/>
  <sheetViews>
    <sheetView workbookViewId="0">
      <selection activeCell="J18" sqref="J18"/>
    </sheetView>
  </sheetViews>
  <sheetFormatPr defaultRowHeight="15"/>
  <cols>
    <col min="3" max="3" width="11.7109375" customWidth="1"/>
    <col min="4" max="4" width="14.42578125" customWidth="1"/>
    <col min="5" max="5" width="16.42578125" customWidth="1"/>
    <col min="6" max="6" width="14.42578125" customWidth="1"/>
    <col min="8" max="8" width="18.28515625" customWidth="1"/>
    <col min="9" max="10" width="17.85546875" customWidth="1"/>
    <col min="11" max="11" width="18.140625" customWidth="1"/>
  </cols>
  <sheetData>
    <row r="1" spans="2:11">
      <c r="B1" t="s">
        <v>270</v>
      </c>
      <c r="C1" t="s">
        <v>271</v>
      </c>
      <c r="D1" t="s">
        <v>272</v>
      </c>
      <c r="E1" t="s">
        <v>273</v>
      </c>
      <c r="F1" t="s">
        <v>274</v>
      </c>
      <c r="H1" t="s">
        <v>275</v>
      </c>
      <c r="I1" t="s">
        <v>276</v>
      </c>
      <c r="J1" t="s">
        <v>277</v>
      </c>
      <c r="K1" t="s">
        <v>278</v>
      </c>
    </row>
    <row r="2" spans="2:11">
      <c r="B2" t="s">
        <v>279</v>
      </c>
      <c r="C2" t="s">
        <v>159</v>
      </c>
      <c r="D2">
        <v>85</v>
      </c>
      <c r="E2">
        <v>3</v>
      </c>
      <c r="F2" t="s">
        <v>280</v>
      </c>
      <c r="H2" t="str">
        <f>IF(AND(D2&gt;=80,F2="Yes"),"Eligible","Denied")</f>
        <v>Eligible</v>
      </c>
      <c r="I2" t="str">
        <f>IF(OR(C2="IT",C2="Finance"),"Invite","Skip")</f>
        <v>Skip</v>
      </c>
      <c r="J2" t="str">
        <f>IF(NOT(E2&lt;1),"Permanent","Probation")</f>
        <v>Permanent</v>
      </c>
      <c r="K2" t="str">
        <f>IF(D2&gt;=90,"Top Talent",IF(D2&gt;=75,"Solid",IF(D2&lt;75,"Revie Needed")))</f>
        <v>Solid</v>
      </c>
    </row>
    <row r="3" spans="2:11">
      <c r="B3" t="s">
        <v>281</v>
      </c>
      <c r="C3" t="s">
        <v>282</v>
      </c>
      <c r="D3">
        <v>92</v>
      </c>
      <c r="E3">
        <v>1</v>
      </c>
      <c r="F3" t="s">
        <v>280</v>
      </c>
      <c r="H3" t="str">
        <f t="shared" ref="H3:H16" si="0">IF(AND(D3&gt;=80,F3="Yes"),"Eligible","Denied")</f>
        <v>Eligible</v>
      </c>
      <c r="I3" t="str">
        <f t="shared" ref="I3:I16" si="1">IF(OR(C3="IT",C3="Finance"),"Invite","Skip")</f>
        <v>Invite</v>
      </c>
      <c r="J3" t="str">
        <f t="shared" ref="J3:J16" si="2">IF(NOT(E3&lt;1),"Permanent","Probation")</f>
        <v>Permanent</v>
      </c>
      <c r="K3" t="str">
        <f t="shared" ref="K3:K16" si="3">IF(D3&gt;=90,"Top Talent",IF(D3&gt;=75,"Solid",IF(D3&lt;75,"Revie Needed")))</f>
        <v>Top Talent</v>
      </c>
    </row>
    <row r="4" spans="2:11">
      <c r="B4" t="s">
        <v>283</v>
      </c>
      <c r="C4" t="s">
        <v>22</v>
      </c>
      <c r="D4">
        <v>74</v>
      </c>
      <c r="E4">
        <v>5</v>
      </c>
      <c r="F4" t="s">
        <v>284</v>
      </c>
      <c r="H4" t="str">
        <f t="shared" si="0"/>
        <v>Denied</v>
      </c>
      <c r="I4" t="str">
        <f t="shared" si="1"/>
        <v>Skip</v>
      </c>
      <c r="J4" t="str">
        <f t="shared" si="2"/>
        <v>Permanent</v>
      </c>
      <c r="K4" t="str">
        <f t="shared" si="3"/>
        <v>Revie Needed</v>
      </c>
    </row>
    <row r="5" spans="2:11">
      <c r="B5" t="s">
        <v>285</v>
      </c>
      <c r="C5" t="s">
        <v>159</v>
      </c>
      <c r="D5">
        <v>95</v>
      </c>
      <c r="E5">
        <v>4</v>
      </c>
      <c r="F5" t="s">
        <v>280</v>
      </c>
      <c r="H5" t="str">
        <f t="shared" si="0"/>
        <v>Eligible</v>
      </c>
      <c r="I5" t="str">
        <f t="shared" si="1"/>
        <v>Skip</v>
      </c>
      <c r="J5" t="str">
        <f t="shared" si="2"/>
        <v>Permanent</v>
      </c>
      <c r="K5" t="str">
        <f t="shared" si="3"/>
        <v>Top Talent</v>
      </c>
    </row>
    <row r="6" spans="2:11">
      <c r="B6" t="s">
        <v>286</v>
      </c>
      <c r="C6" t="s">
        <v>287</v>
      </c>
      <c r="D6">
        <v>60</v>
      </c>
      <c r="E6">
        <v>2</v>
      </c>
      <c r="F6" t="s">
        <v>280</v>
      </c>
      <c r="H6" t="str">
        <f t="shared" si="0"/>
        <v>Denied</v>
      </c>
      <c r="I6" t="str">
        <f t="shared" si="1"/>
        <v>Invite</v>
      </c>
      <c r="J6" t="str">
        <f t="shared" si="2"/>
        <v>Permanent</v>
      </c>
      <c r="K6" t="str">
        <f t="shared" si="3"/>
        <v>Revie Needed</v>
      </c>
    </row>
    <row r="7" spans="2:11">
      <c r="B7" t="s">
        <v>288</v>
      </c>
      <c r="C7" t="s">
        <v>282</v>
      </c>
      <c r="D7">
        <v>88</v>
      </c>
      <c r="E7">
        <v>6</v>
      </c>
      <c r="F7" t="s">
        <v>284</v>
      </c>
      <c r="H7" t="str">
        <f t="shared" si="0"/>
        <v>Denied</v>
      </c>
      <c r="I7" t="str">
        <f t="shared" si="1"/>
        <v>Invite</v>
      </c>
      <c r="J7" t="str">
        <f t="shared" si="2"/>
        <v>Permanent</v>
      </c>
      <c r="K7" t="str">
        <f t="shared" si="3"/>
        <v>Solid</v>
      </c>
    </row>
    <row r="8" spans="2:11">
      <c r="B8" t="s">
        <v>289</v>
      </c>
      <c r="C8" t="s">
        <v>290</v>
      </c>
      <c r="D8">
        <v>79</v>
      </c>
      <c r="E8">
        <v>0.5</v>
      </c>
      <c r="F8" t="s">
        <v>280</v>
      </c>
      <c r="H8" t="str">
        <f t="shared" si="0"/>
        <v>Denied</v>
      </c>
      <c r="I8" t="str">
        <f t="shared" si="1"/>
        <v>Skip</v>
      </c>
      <c r="J8" t="str">
        <f t="shared" si="2"/>
        <v>Probation</v>
      </c>
      <c r="K8" t="str">
        <f t="shared" si="3"/>
        <v>Solid</v>
      </c>
    </row>
    <row r="9" spans="2:11">
      <c r="B9" t="s">
        <v>291</v>
      </c>
      <c r="C9" t="s">
        <v>159</v>
      </c>
      <c r="D9">
        <v>45</v>
      </c>
      <c r="E9">
        <v>3</v>
      </c>
      <c r="F9" t="s">
        <v>280</v>
      </c>
      <c r="H9" t="str">
        <f t="shared" si="0"/>
        <v>Denied</v>
      </c>
      <c r="I9" t="str">
        <f t="shared" si="1"/>
        <v>Skip</v>
      </c>
      <c r="J9" t="str">
        <f t="shared" si="2"/>
        <v>Permanent</v>
      </c>
      <c r="K9" t="str">
        <f t="shared" si="3"/>
        <v>Revie Needed</v>
      </c>
    </row>
    <row r="10" spans="2:11">
      <c r="B10" t="s">
        <v>292</v>
      </c>
      <c r="C10" t="s">
        <v>282</v>
      </c>
      <c r="D10">
        <v>91</v>
      </c>
      <c r="E10">
        <v>2</v>
      </c>
      <c r="F10" t="s">
        <v>280</v>
      </c>
      <c r="H10" t="str">
        <f t="shared" si="0"/>
        <v>Eligible</v>
      </c>
      <c r="I10" t="str">
        <f t="shared" si="1"/>
        <v>Invite</v>
      </c>
      <c r="J10" t="str">
        <f t="shared" si="2"/>
        <v>Permanent</v>
      </c>
      <c r="K10" t="str">
        <f t="shared" si="3"/>
        <v>Top Talent</v>
      </c>
    </row>
    <row r="11" spans="2:11">
      <c r="B11" t="s">
        <v>293</v>
      </c>
      <c r="C11" t="s">
        <v>287</v>
      </c>
      <c r="D11">
        <v>82</v>
      </c>
      <c r="E11">
        <v>4</v>
      </c>
      <c r="F11" t="s">
        <v>280</v>
      </c>
      <c r="H11" t="str">
        <f t="shared" si="0"/>
        <v>Eligible</v>
      </c>
      <c r="I11" t="str">
        <f t="shared" si="1"/>
        <v>Invite</v>
      </c>
      <c r="J11" t="str">
        <f t="shared" si="2"/>
        <v>Permanent</v>
      </c>
      <c r="K11" t="str">
        <f t="shared" si="3"/>
        <v>Solid</v>
      </c>
    </row>
    <row r="12" spans="2:11">
      <c r="B12" t="s">
        <v>294</v>
      </c>
      <c r="C12" t="s">
        <v>22</v>
      </c>
      <c r="D12">
        <v>96</v>
      </c>
      <c r="E12">
        <v>7</v>
      </c>
      <c r="F12" t="s">
        <v>280</v>
      </c>
      <c r="H12" t="str">
        <f t="shared" si="0"/>
        <v>Eligible</v>
      </c>
      <c r="I12" t="str">
        <f t="shared" si="1"/>
        <v>Skip</v>
      </c>
      <c r="J12" t="str">
        <f t="shared" si="2"/>
        <v>Permanent</v>
      </c>
      <c r="K12" t="str">
        <f t="shared" si="3"/>
        <v>Top Talent</v>
      </c>
    </row>
    <row r="13" spans="2:11">
      <c r="B13" t="s">
        <v>295</v>
      </c>
      <c r="C13" t="s">
        <v>159</v>
      </c>
      <c r="D13">
        <v>89</v>
      </c>
      <c r="E13">
        <v>1.5</v>
      </c>
      <c r="F13" t="s">
        <v>284</v>
      </c>
      <c r="H13" t="str">
        <f t="shared" si="0"/>
        <v>Denied</v>
      </c>
      <c r="I13" t="str">
        <f t="shared" si="1"/>
        <v>Skip</v>
      </c>
      <c r="J13" t="str">
        <f t="shared" si="2"/>
        <v>Permanent</v>
      </c>
      <c r="K13" t="str">
        <f t="shared" si="3"/>
        <v>Solid</v>
      </c>
    </row>
    <row r="14" spans="2:11">
      <c r="B14" t="s">
        <v>296</v>
      </c>
      <c r="C14" t="s">
        <v>290</v>
      </c>
      <c r="D14">
        <v>55</v>
      </c>
      <c r="E14">
        <v>5</v>
      </c>
      <c r="F14" t="s">
        <v>280</v>
      </c>
      <c r="H14" t="str">
        <f t="shared" si="0"/>
        <v>Denied</v>
      </c>
      <c r="I14" t="str">
        <f t="shared" si="1"/>
        <v>Skip</v>
      </c>
      <c r="J14" t="str">
        <f t="shared" si="2"/>
        <v>Permanent</v>
      </c>
      <c r="K14" t="str">
        <f t="shared" si="3"/>
        <v>Revie Needed</v>
      </c>
    </row>
    <row r="15" spans="2:11">
      <c r="B15" t="s">
        <v>297</v>
      </c>
      <c r="C15" t="s">
        <v>282</v>
      </c>
      <c r="D15">
        <v>76</v>
      </c>
      <c r="E15">
        <v>3</v>
      </c>
      <c r="F15" t="s">
        <v>280</v>
      </c>
      <c r="H15" t="str">
        <f t="shared" si="0"/>
        <v>Denied</v>
      </c>
      <c r="I15" t="str">
        <f t="shared" si="1"/>
        <v>Invite</v>
      </c>
      <c r="J15" t="str">
        <f t="shared" si="2"/>
        <v>Permanent</v>
      </c>
      <c r="K15" t="str">
        <f t="shared" si="3"/>
        <v>Solid</v>
      </c>
    </row>
    <row r="16" spans="2:11">
      <c r="B16" t="s">
        <v>298</v>
      </c>
      <c r="C16" t="s">
        <v>287</v>
      </c>
      <c r="D16">
        <v>90</v>
      </c>
      <c r="E16">
        <v>0.2</v>
      </c>
      <c r="F16" t="s">
        <v>284</v>
      </c>
      <c r="H16" t="str">
        <f t="shared" si="0"/>
        <v>Denied</v>
      </c>
      <c r="I16" t="str">
        <f t="shared" si="1"/>
        <v>Invite</v>
      </c>
      <c r="J16" t="str">
        <f t="shared" si="2"/>
        <v>Probation</v>
      </c>
      <c r="K16" t="str">
        <f t="shared" si="3"/>
        <v>Top Talent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9C2A-79C8-43A0-86F4-4925C94A5B45}">
  <dimension ref="B1:N17"/>
  <sheetViews>
    <sheetView workbookViewId="0">
      <selection activeCell="N2" sqref="N2:N13"/>
    </sheetView>
  </sheetViews>
  <sheetFormatPr defaultRowHeight="15"/>
  <cols>
    <col min="2" max="2" width="10.28515625" customWidth="1"/>
    <col min="3" max="3" width="12.7109375" customWidth="1"/>
    <col min="4" max="4" width="15.28515625" customWidth="1"/>
    <col min="5" max="5" width="17.140625" customWidth="1"/>
    <col min="6" max="6" width="18.28515625" customWidth="1"/>
    <col min="7" max="7" width="17" customWidth="1"/>
    <col min="9" max="9" width="15.28515625" customWidth="1"/>
    <col min="10" max="10" width="14.7109375" customWidth="1"/>
    <col min="12" max="12" width="17.7109375" customWidth="1"/>
    <col min="13" max="13" width="17.140625" customWidth="1"/>
    <col min="14" max="14" width="17.85546875" customWidth="1"/>
  </cols>
  <sheetData>
    <row r="1" spans="2:14"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I1" t="s">
        <v>305</v>
      </c>
      <c r="J1" t="s">
        <v>306</v>
      </c>
      <c r="L1" t="s">
        <v>307</v>
      </c>
      <c r="M1" t="s">
        <v>308</v>
      </c>
      <c r="N1" t="s">
        <v>309</v>
      </c>
    </row>
    <row r="2" spans="2:14">
      <c r="B2" t="s">
        <v>310</v>
      </c>
      <c r="C2" t="s">
        <v>311</v>
      </c>
      <c r="D2">
        <v>50</v>
      </c>
      <c r="E2">
        <v>14</v>
      </c>
      <c r="F2">
        <v>5</v>
      </c>
      <c r="I2">
        <f>D2*E2</f>
        <v>700</v>
      </c>
      <c r="J2">
        <f>D2*12</f>
        <v>600</v>
      </c>
      <c r="L2" t="str">
        <f>IF(F2&gt;=30,"At Risk","Safe")</f>
        <v>Safe</v>
      </c>
      <c r="M2" t="str">
        <f>IF(OR(C2="Basic",G2=""),"Send Promo","Skip")</f>
        <v>Send Promo</v>
      </c>
      <c r="N2" t="str">
        <f>IF(E2&gt;=24, "Gold",IF(E2&gt;=12,"Silve",IF(E2&lt;12,"Bronze")))</f>
        <v>Silve</v>
      </c>
    </row>
    <row r="3" spans="2:14">
      <c r="B3" t="s">
        <v>312</v>
      </c>
      <c r="C3" t="s">
        <v>313</v>
      </c>
      <c r="D3">
        <v>15</v>
      </c>
      <c r="E3">
        <v>6</v>
      </c>
      <c r="F3">
        <v>45</v>
      </c>
      <c r="G3" t="s">
        <v>314</v>
      </c>
      <c r="I3">
        <f t="shared" ref="I3:I13" si="0">D3*E3</f>
        <v>90</v>
      </c>
      <c r="J3">
        <f t="shared" ref="J3:J13" si="1">D3*12</f>
        <v>180</v>
      </c>
      <c r="L3" t="str">
        <f t="shared" ref="L3:L13" si="2">IF(F3&gt;=30,"At Risk","Safe")</f>
        <v>At Risk</v>
      </c>
      <c r="M3" t="str">
        <f t="shared" ref="M3:M13" si="3">IF(OR(C3="Basic",G3=""),"Send Promo","Skip")</f>
        <v>Send Promo</v>
      </c>
      <c r="N3" t="str">
        <f t="shared" ref="N3:N13" si="4">IF(E3&gt;=24, "Gold",IF(E3&gt;=12,"Silve",IF(E3&lt;12,"Bronze")))</f>
        <v>Bronze</v>
      </c>
    </row>
    <row r="4" spans="2:14">
      <c r="B4" t="s">
        <v>315</v>
      </c>
      <c r="C4" t="s">
        <v>316</v>
      </c>
      <c r="D4">
        <v>150</v>
      </c>
      <c r="E4">
        <v>26</v>
      </c>
      <c r="F4">
        <v>2</v>
      </c>
      <c r="I4">
        <f t="shared" si="0"/>
        <v>3900</v>
      </c>
      <c r="J4">
        <f t="shared" si="1"/>
        <v>1800</v>
      </c>
      <c r="L4" t="str">
        <f t="shared" si="2"/>
        <v>Safe</v>
      </c>
      <c r="M4" t="str">
        <f t="shared" si="3"/>
        <v>Send Promo</v>
      </c>
      <c r="N4" t="str">
        <f t="shared" si="4"/>
        <v>Gold</v>
      </c>
    </row>
    <row r="5" spans="2:14">
      <c r="B5" t="s">
        <v>317</v>
      </c>
      <c r="C5" t="s">
        <v>311</v>
      </c>
      <c r="D5">
        <v>50</v>
      </c>
      <c r="E5">
        <v>18</v>
      </c>
      <c r="G5" t="s">
        <v>318</v>
      </c>
      <c r="I5">
        <f t="shared" si="0"/>
        <v>900</v>
      </c>
      <c r="J5">
        <f t="shared" si="1"/>
        <v>600</v>
      </c>
      <c r="L5" t="str">
        <f t="shared" si="2"/>
        <v>Safe</v>
      </c>
      <c r="M5" t="str">
        <f t="shared" si="3"/>
        <v>Skip</v>
      </c>
      <c r="N5" t="str">
        <f t="shared" si="4"/>
        <v>Silve</v>
      </c>
    </row>
    <row r="6" spans="2:14">
      <c r="B6" t="s">
        <v>319</v>
      </c>
      <c r="C6" t="s">
        <v>313</v>
      </c>
      <c r="D6">
        <v>15</v>
      </c>
      <c r="E6">
        <v>3</v>
      </c>
      <c r="F6">
        <v>12</v>
      </c>
      <c r="I6">
        <f t="shared" si="0"/>
        <v>45</v>
      </c>
      <c r="J6">
        <f t="shared" si="1"/>
        <v>180</v>
      </c>
      <c r="L6" t="str">
        <f t="shared" si="2"/>
        <v>Safe</v>
      </c>
      <c r="M6" t="str">
        <f t="shared" si="3"/>
        <v>Send Promo</v>
      </c>
      <c r="N6" t="str">
        <f t="shared" si="4"/>
        <v>Bronze</v>
      </c>
    </row>
    <row r="7" spans="2:14">
      <c r="B7" t="s">
        <v>320</v>
      </c>
      <c r="C7" t="s">
        <v>311</v>
      </c>
      <c r="D7">
        <v>50</v>
      </c>
      <c r="E7">
        <v>2</v>
      </c>
      <c r="F7">
        <v>60</v>
      </c>
      <c r="I7">
        <f t="shared" si="0"/>
        <v>100</v>
      </c>
      <c r="J7">
        <f t="shared" si="1"/>
        <v>600</v>
      </c>
      <c r="L7" t="str">
        <f t="shared" si="2"/>
        <v>At Risk</v>
      </c>
      <c r="M7" t="str">
        <f t="shared" si="3"/>
        <v>Send Promo</v>
      </c>
      <c r="N7" t="str">
        <f t="shared" si="4"/>
        <v>Bronze</v>
      </c>
    </row>
    <row r="8" spans="2:14">
      <c r="B8" t="s">
        <v>321</v>
      </c>
      <c r="C8" t="s">
        <v>316</v>
      </c>
      <c r="D8">
        <v>150</v>
      </c>
      <c r="E8">
        <v>12</v>
      </c>
      <c r="F8">
        <v>1</v>
      </c>
      <c r="G8" t="s">
        <v>322</v>
      </c>
      <c r="I8">
        <f t="shared" si="0"/>
        <v>1800</v>
      </c>
      <c r="J8">
        <f t="shared" si="1"/>
        <v>1800</v>
      </c>
      <c r="L8" t="str">
        <f t="shared" si="2"/>
        <v>Safe</v>
      </c>
      <c r="M8" t="str">
        <f t="shared" si="3"/>
        <v>Skip</v>
      </c>
      <c r="N8" t="str">
        <f t="shared" si="4"/>
        <v>Silve</v>
      </c>
    </row>
    <row r="9" spans="2:14">
      <c r="B9" t="s">
        <v>323</v>
      </c>
      <c r="C9" t="s">
        <v>313</v>
      </c>
      <c r="D9">
        <v>15</v>
      </c>
      <c r="E9">
        <v>24</v>
      </c>
      <c r="F9">
        <v>15</v>
      </c>
      <c r="G9" t="s">
        <v>314</v>
      </c>
      <c r="I9">
        <f t="shared" si="0"/>
        <v>360</v>
      </c>
      <c r="J9">
        <f t="shared" si="1"/>
        <v>180</v>
      </c>
      <c r="L9" t="str">
        <f t="shared" si="2"/>
        <v>Safe</v>
      </c>
      <c r="M9" t="str">
        <f t="shared" si="3"/>
        <v>Send Promo</v>
      </c>
      <c r="N9" t="str">
        <f t="shared" si="4"/>
        <v>Gold</v>
      </c>
    </row>
    <row r="10" spans="2:14">
      <c r="B10" t="s">
        <v>324</v>
      </c>
      <c r="C10" t="s">
        <v>311</v>
      </c>
      <c r="D10">
        <v>50</v>
      </c>
      <c r="F10">
        <v>30</v>
      </c>
      <c r="I10">
        <f t="shared" si="0"/>
        <v>0</v>
      </c>
      <c r="J10">
        <f t="shared" si="1"/>
        <v>600</v>
      </c>
      <c r="L10" t="str">
        <f t="shared" si="2"/>
        <v>At Risk</v>
      </c>
      <c r="M10" t="str">
        <f t="shared" si="3"/>
        <v>Send Promo</v>
      </c>
      <c r="N10" t="str">
        <f t="shared" si="4"/>
        <v>Bronze</v>
      </c>
    </row>
    <row r="11" spans="2:14">
      <c r="B11" t="s">
        <v>325</v>
      </c>
      <c r="C11" t="s">
        <v>316</v>
      </c>
      <c r="D11">
        <v>150</v>
      </c>
      <c r="E11">
        <v>5</v>
      </c>
      <c r="F11">
        <v>5</v>
      </c>
      <c r="I11">
        <f t="shared" si="0"/>
        <v>750</v>
      </c>
      <c r="J11">
        <f t="shared" si="1"/>
        <v>1800</v>
      </c>
      <c r="L11" t="str">
        <f t="shared" si="2"/>
        <v>Safe</v>
      </c>
      <c r="M11" t="str">
        <f t="shared" si="3"/>
        <v>Send Promo</v>
      </c>
      <c r="N11" t="str">
        <f t="shared" si="4"/>
        <v>Bronze</v>
      </c>
    </row>
    <row r="12" spans="2:14">
      <c r="B12" t="s">
        <v>326</v>
      </c>
      <c r="C12" t="s">
        <v>313</v>
      </c>
      <c r="D12">
        <v>15</v>
      </c>
      <c r="E12">
        <v>10</v>
      </c>
      <c r="F12">
        <v>45</v>
      </c>
      <c r="I12">
        <f t="shared" si="0"/>
        <v>150</v>
      </c>
      <c r="J12">
        <f t="shared" si="1"/>
        <v>180</v>
      </c>
      <c r="L12" t="str">
        <f t="shared" si="2"/>
        <v>At Risk</v>
      </c>
      <c r="M12" t="str">
        <f t="shared" si="3"/>
        <v>Send Promo</v>
      </c>
      <c r="N12" t="str">
        <f t="shared" si="4"/>
        <v>Bronze</v>
      </c>
    </row>
    <row r="13" spans="2:14">
      <c r="B13" t="s">
        <v>327</v>
      </c>
      <c r="C13" t="s">
        <v>311</v>
      </c>
      <c r="D13">
        <v>50</v>
      </c>
      <c r="E13">
        <v>12</v>
      </c>
      <c r="F13">
        <v>3</v>
      </c>
      <c r="G13" t="s">
        <v>314</v>
      </c>
      <c r="I13">
        <f t="shared" si="0"/>
        <v>600</v>
      </c>
      <c r="J13">
        <f t="shared" si="1"/>
        <v>600</v>
      </c>
      <c r="L13" t="str">
        <f t="shared" si="2"/>
        <v>Safe</v>
      </c>
      <c r="M13" t="str">
        <f t="shared" si="3"/>
        <v>Skip</v>
      </c>
      <c r="N13" t="str">
        <f t="shared" si="4"/>
        <v>Silve</v>
      </c>
    </row>
    <row r="15" spans="2:14">
      <c r="B15">
        <f>COUNTA(B2:B13)</f>
        <v>12</v>
      </c>
      <c r="D15">
        <f>COUNT(D2:D13)</f>
        <v>12</v>
      </c>
      <c r="F15">
        <f>COUNTBLANK(F2:F13)</f>
        <v>1</v>
      </c>
    </row>
    <row r="16" spans="2:14">
      <c r="D16">
        <f>MAX(D2:D13)</f>
        <v>150</v>
      </c>
    </row>
    <row r="17" spans="4:4">
      <c r="D17">
        <f>MIN(D2:D13)</f>
        <v>15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BC24-47D2-480A-AF05-2141C7324842}">
  <dimension ref="A1:H6"/>
  <sheetViews>
    <sheetView workbookViewId="0">
      <selection activeCell="F1" sqref="F1:H6"/>
    </sheetView>
  </sheetViews>
  <sheetFormatPr defaultRowHeight="15"/>
  <cols>
    <col min="1" max="1" width="10.28515625" bestFit="1" customWidth="1"/>
    <col min="3" max="3" width="14.28515625" bestFit="1" customWidth="1"/>
    <col min="4" max="4" width="11" bestFit="1" customWidth="1"/>
    <col min="6" max="6" width="14.140625" bestFit="1" customWidth="1"/>
    <col min="7" max="7" width="10.28515625" bestFit="1" customWidth="1"/>
    <col min="8" max="8" width="15" bestFit="1" customWidth="1"/>
  </cols>
  <sheetData>
    <row r="1" spans="1:8">
      <c r="A1" t="s">
        <v>270</v>
      </c>
      <c r="B1" t="s">
        <v>174</v>
      </c>
      <c r="C1" t="s">
        <v>84</v>
      </c>
      <c r="D1" t="s">
        <v>328</v>
      </c>
      <c r="F1" t="s">
        <v>329</v>
      </c>
      <c r="G1" t="s">
        <v>270</v>
      </c>
      <c r="H1" t="s">
        <v>330</v>
      </c>
    </row>
    <row r="2" spans="1:8">
      <c r="A2" t="s">
        <v>279</v>
      </c>
      <c r="B2" t="s">
        <v>183</v>
      </c>
      <c r="C2" t="s">
        <v>18</v>
      </c>
      <c r="D2" t="s">
        <v>331</v>
      </c>
      <c r="F2" t="s">
        <v>332</v>
      </c>
      <c r="G2" t="s">
        <v>285</v>
      </c>
      <c r="H2" t="s">
        <v>333</v>
      </c>
    </row>
    <row r="3" spans="1:8">
      <c r="A3" t="s">
        <v>281</v>
      </c>
      <c r="B3" t="s">
        <v>95</v>
      </c>
      <c r="C3" t="s">
        <v>100</v>
      </c>
      <c r="D3" t="s">
        <v>334</v>
      </c>
      <c r="F3" t="s">
        <v>335</v>
      </c>
      <c r="G3" t="s">
        <v>279</v>
      </c>
      <c r="H3" t="s">
        <v>336</v>
      </c>
    </row>
    <row r="4" spans="1:8">
      <c r="A4" t="s">
        <v>283</v>
      </c>
      <c r="B4" t="s">
        <v>98</v>
      </c>
      <c r="C4" t="s">
        <v>22</v>
      </c>
      <c r="D4" t="s">
        <v>331</v>
      </c>
      <c r="F4" t="s">
        <v>337</v>
      </c>
      <c r="G4" t="s">
        <v>286</v>
      </c>
      <c r="H4" t="s">
        <v>338</v>
      </c>
    </row>
    <row r="5" spans="1:8">
      <c r="A5" t="s">
        <v>285</v>
      </c>
      <c r="B5" t="s">
        <v>102</v>
      </c>
      <c r="C5" t="s">
        <v>18</v>
      </c>
      <c r="D5" t="s">
        <v>339</v>
      </c>
      <c r="F5" t="s">
        <v>340</v>
      </c>
      <c r="G5" t="s">
        <v>281</v>
      </c>
      <c r="H5" t="s">
        <v>341</v>
      </c>
    </row>
    <row r="6" spans="1:8">
      <c r="A6" t="s">
        <v>286</v>
      </c>
      <c r="B6" t="s">
        <v>106</v>
      </c>
      <c r="C6" t="s">
        <v>104</v>
      </c>
      <c r="D6" t="s">
        <v>334</v>
      </c>
      <c r="F6" t="s">
        <v>342</v>
      </c>
      <c r="G6" t="s">
        <v>292</v>
      </c>
      <c r="H6" t="s">
        <v>343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E1C7-88DF-459C-BB41-F87473040703}">
  <dimension ref="A1:K12"/>
  <sheetViews>
    <sheetView workbookViewId="0">
      <selection activeCell="K2" sqref="K2"/>
    </sheetView>
  </sheetViews>
  <sheetFormatPr defaultRowHeight="15"/>
  <cols>
    <col min="1" max="1" width="10.28515625" bestFit="1" customWidth="1"/>
    <col min="2" max="2" width="13.5703125" customWidth="1"/>
    <col min="3" max="3" width="12" customWidth="1"/>
    <col min="7" max="7" width="15" customWidth="1"/>
    <col min="8" max="8" width="13.7109375" customWidth="1"/>
    <col min="10" max="10" width="15.85546875" customWidth="1"/>
    <col min="11" max="11" width="17" customWidth="1"/>
  </cols>
  <sheetData>
    <row r="1" spans="1:11">
      <c r="A1" t="s">
        <v>270</v>
      </c>
      <c r="B1" t="s">
        <v>174</v>
      </c>
      <c r="C1" t="s">
        <v>271</v>
      </c>
      <c r="D1" t="s">
        <v>344</v>
      </c>
      <c r="E1" t="s">
        <v>345</v>
      </c>
      <c r="G1" t="s">
        <v>346</v>
      </c>
      <c r="H1" t="s">
        <v>347</v>
      </c>
      <c r="J1" t="s">
        <v>348</v>
      </c>
      <c r="K1" t="s">
        <v>349</v>
      </c>
    </row>
    <row r="2" spans="1:11">
      <c r="A2">
        <v>101</v>
      </c>
      <c r="B2" t="s">
        <v>350</v>
      </c>
      <c r="C2" t="s">
        <v>282</v>
      </c>
      <c r="D2">
        <v>39000</v>
      </c>
      <c r="E2" t="s">
        <v>351</v>
      </c>
      <c r="G2">
        <v>102</v>
      </c>
      <c r="H2" t="str">
        <f>VLOOKUP(Table14[[#This Row],[Lookup_data]],Table13[#All],2,FALSE)</f>
        <v>Manoj</v>
      </c>
      <c r="J2" t="s">
        <v>218</v>
      </c>
      <c r="K2">
        <f>VLOOKUP(Table15[[#This Row],[Lookup_data_sal]],Table13[[#All],[Name]:[Post]],3,FALSE)</f>
        <v>15000</v>
      </c>
    </row>
    <row r="3" spans="1:11">
      <c r="A3">
        <v>102</v>
      </c>
      <c r="B3" t="s">
        <v>218</v>
      </c>
      <c r="C3" t="s">
        <v>159</v>
      </c>
      <c r="D3">
        <v>15000</v>
      </c>
      <c r="E3" t="s">
        <v>352</v>
      </c>
      <c r="G3">
        <v>110</v>
      </c>
      <c r="H3" t="str">
        <f>VLOOKUP(Table14[[#This Row],[Lookup_data]],Table13[#All],2,FALSE)</f>
        <v>Sumit</v>
      </c>
      <c r="J3" t="s">
        <v>98</v>
      </c>
      <c r="K3">
        <f>VLOOKUP(Table15[[#This Row],[Lookup_data_sal]],Table13[[#All],[Name]:[Post]],3,FALSE)</f>
        <v>45000</v>
      </c>
    </row>
    <row r="4" spans="1:11">
      <c r="A4">
        <v>103</v>
      </c>
      <c r="B4" t="s">
        <v>353</v>
      </c>
      <c r="C4" t="s">
        <v>287</v>
      </c>
      <c r="D4">
        <v>25000</v>
      </c>
      <c r="E4" t="s">
        <v>352</v>
      </c>
      <c r="G4">
        <v>200</v>
      </c>
      <c r="H4" t="e">
        <f>VLOOKUP(Table14[[#This Row],[Lookup_data]],Table13[#All],2,FALSE)</f>
        <v>#N/A</v>
      </c>
      <c r="J4" t="s">
        <v>354</v>
      </c>
      <c r="K4">
        <f>VLOOKUP(Table15[[#This Row],[Lookup_data_sal]],Table13[[#All],[Name]:[Post]],3,FALSE)</f>
        <v>24000</v>
      </c>
    </row>
    <row r="5" spans="1:11">
      <c r="A5">
        <v>104</v>
      </c>
      <c r="B5" t="s">
        <v>98</v>
      </c>
      <c r="C5" t="s">
        <v>282</v>
      </c>
      <c r="D5">
        <v>45000</v>
      </c>
      <c r="E5" t="s">
        <v>87</v>
      </c>
      <c r="G5">
        <v>104</v>
      </c>
      <c r="H5" t="str">
        <f>VLOOKUP(Table14[[#This Row],[Lookup_data]],Table13[#All],2,FALSE)</f>
        <v>Amit</v>
      </c>
      <c r="J5" t="s">
        <v>265</v>
      </c>
      <c r="K5">
        <f>VLOOKUP(Table15[[#This Row],[Lookup_data_sal]],Table13[[#All],[Name]:[Post]],3,FALSE)</f>
        <v>25700</v>
      </c>
    </row>
    <row r="6" spans="1:11">
      <c r="A6">
        <v>105</v>
      </c>
      <c r="B6" t="s">
        <v>355</v>
      </c>
      <c r="C6" t="s">
        <v>282</v>
      </c>
      <c r="D6">
        <v>80000</v>
      </c>
      <c r="E6" t="s">
        <v>87</v>
      </c>
      <c r="K6" t="e">
        <f>VLOOKUP(Table15[[#This Row],[Lookup_data_sal]],Table13[[#All],[Name]:[Post]],3,FALSE)</f>
        <v>#N/A</v>
      </c>
    </row>
    <row r="7" spans="1:11">
      <c r="A7">
        <v>106</v>
      </c>
      <c r="B7" t="s">
        <v>354</v>
      </c>
      <c r="C7" t="s">
        <v>287</v>
      </c>
      <c r="D7">
        <v>24000</v>
      </c>
      <c r="E7" t="s">
        <v>352</v>
      </c>
      <c r="K7" t="e">
        <f>VLOOKUP(Table15[[#This Row],[Lookup_data_sal]],Table13[[#All],[Name]:[Post]],3,FALSE)</f>
        <v>#N/A</v>
      </c>
    </row>
    <row r="8" spans="1:11">
      <c r="A8">
        <v>107</v>
      </c>
      <c r="B8" t="s">
        <v>56</v>
      </c>
      <c r="C8" t="s">
        <v>159</v>
      </c>
      <c r="D8">
        <v>31000</v>
      </c>
      <c r="E8" t="s">
        <v>351</v>
      </c>
      <c r="K8" t="e">
        <f>VLOOKUP(Table15[[#This Row],[Lookup_data_sal]],Table13[[#All],[Name]:[Post]],3,FALSE)</f>
        <v>#N/A</v>
      </c>
    </row>
    <row r="9" spans="1:11">
      <c r="A9">
        <v>108</v>
      </c>
      <c r="B9" t="s">
        <v>356</v>
      </c>
      <c r="C9" t="s">
        <v>287</v>
      </c>
      <c r="D9">
        <v>45600</v>
      </c>
      <c r="E9" t="s">
        <v>351</v>
      </c>
      <c r="K9" t="e">
        <f>VLOOKUP(Table15[[#This Row],[Lookup_data_sal]],Table13[[#All],[Name]:[Post]],3,FALSE)</f>
        <v>#N/A</v>
      </c>
    </row>
    <row r="10" spans="1:11">
      <c r="A10">
        <v>109</v>
      </c>
      <c r="B10" t="s">
        <v>265</v>
      </c>
      <c r="C10" t="s">
        <v>159</v>
      </c>
      <c r="D10">
        <v>25700</v>
      </c>
      <c r="E10" t="s">
        <v>357</v>
      </c>
      <c r="K10" t="e">
        <f>VLOOKUP(Table15[[#This Row],[Lookup_data_sal]],Table13[[#All],[Name]:[Post]],3,FALSE)</f>
        <v>#N/A</v>
      </c>
    </row>
    <row r="11" spans="1:11">
      <c r="A11">
        <v>110</v>
      </c>
      <c r="B11" t="s">
        <v>263</v>
      </c>
      <c r="C11" t="s">
        <v>282</v>
      </c>
      <c r="D11">
        <v>35000</v>
      </c>
      <c r="E11" t="s">
        <v>351</v>
      </c>
      <c r="K11" t="e">
        <f>VLOOKUP(Table15[[#This Row],[Lookup_data_sal]],Table13[[#All],[Name]:[Post]],3,FALSE)</f>
        <v>#N/A</v>
      </c>
    </row>
    <row r="12" spans="1:11">
      <c r="K12" t="e">
        <f>VLOOKUP(Table15[[#This Row],[Lookup_data_sal]],Table13[[#All],[Name]:[Post]],3,FALSE)</f>
        <v>#N/A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9665-35AE-4AFD-8626-25FB89CDD201}">
  <dimension ref="A1:L4"/>
  <sheetViews>
    <sheetView workbookViewId="0">
      <selection activeCell="L2" sqref="L2:L4"/>
    </sheetView>
  </sheetViews>
  <sheetFormatPr defaultRowHeight="15"/>
  <cols>
    <col min="1" max="1" width="14" customWidth="1"/>
    <col min="11" max="11" width="14.140625" customWidth="1"/>
    <col min="12" max="12" width="12.140625" customWidth="1"/>
  </cols>
  <sheetData>
    <row r="1" spans="1:12">
      <c r="A1" s="14" t="s">
        <v>159</v>
      </c>
      <c r="B1" s="12">
        <v>5</v>
      </c>
      <c r="C1">
        <v>25</v>
      </c>
      <c r="D1">
        <v>35</v>
      </c>
      <c r="E1">
        <v>20</v>
      </c>
      <c r="F1">
        <v>48</v>
      </c>
      <c r="G1">
        <v>63</v>
      </c>
      <c r="H1">
        <v>60</v>
      </c>
      <c r="I1">
        <v>15</v>
      </c>
      <c r="K1" t="s">
        <v>358</v>
      </c>
      <c r="L1" t="s">
        <v>359</v>
      </c>
    </row>
    <row r="2" spans="1:12">
      <c r="A2" s="13" t="s">
        <v>160</v>
      </c>
      <c r="B2">
        <v>10</v>
      </c>
      <c r="C2">
        <v>30</v>
      </c>
      <c r="D2">
        <v>45</v>
      </c>
      <c r="E2">
        <v>40</v>
      </c>
      <c r="F2">
        <v>60</v>
      </c>
      <c r="G2">
        <v>20</v>
      </c>
      <c r="H2">
        <v>50</v>
      </c>
      <c r="I2">
        <v>25</v>
      </c>
      <c r="K2">
        <v>5</v>
      </c>
      <c r="L2" t="str">
        <f>HLOOKUP(Table17[[#This Row],[Look_up]],A1:I5,3,FALSE)</f>
        <v>Amit</v>
      </c>
    </row>
    <row r="3" spans="1:12">
      <c r="A3" s="11" t="s">
        <v>360</v>
      </c>
      <c r="B3" t="s">
        <v>98</v>
      </c>
      <c r="C3" t="s">
        <v>263</v>
      </c>
      <c r="D3" t="s">
        <v>265</v>
      </c>
      <c r="E3" t="s">
        <v>361</v>
      </c>
      <c r="F3" t="s">
        <v>362</v>
      </c>
      <c r="G3" t="s">
        <v>363</v>
      </c>
      <c r="H3" t="s">
        <v>364</v>
      </c>
      <c r="I3" t="s">
        <v>365</v>
      </c>
      <c r="K3">
        <v>25</v>
      </c>
      <c r="L3">
        <f>HLOOKUP(Table17[[#This Row],[Look_up]],A2:I6,3,FALSE)</f>
        <v>0</v>
      </c>
    </row>
    <row r="4" spans="1:12">
      <c r="K4">
        <v>20</v>
      </c>
      <c r="L4" t="e">
        <f>HLOOKUP(Table17[[#This Row],[Look_up]],A3:I7,3,FALSE)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5D94-27C6-4F61-A0F0-F50DD6D50147}">
  <dimension ref="A1:M6"/>
  <sheetViews>
    <sheetView workbookViewId="0">
      <selection activeCell="M2" sqref="M2"/>
    </sheetView>
  </sheetViews>
  <sheetFormatPr defaultRowHeight="15"/>
  <cols>
    <col min="1" max="1" width="10.28515625" bestFit="1" customWidth="1"/>
    <col min="3" max="3" width="14.28515625" bestFit="1" customWidth="1"/>
    <col min="4" max="4" width="11" bestFit="1" customWidth="1"/>
    <col min="6" max="6" width="14.140625" bestFit="1" customWidth="1"/>
    <col min="7" max="7" width="10.28515625" bestFit="1" customWidth="1"/>
    <col min="8" max="8" width="15" bestFit="1" customWidth="1"/>
    <col min="9" max="9" width="10.85546875" customWidth="1"/>
    <col min="10" max="10" width="16.7109375" customWidth="1"/>
    <col min="11" max="11" width="18" customWidth="1"/>
  </cols>
  <sheetData>
    <row r="1" spans="1:13">
      <c r="A1" t="s">
        <v>270</v>
      </c>
      <c r="B1" t="s">
        <v>174</v>
      </c>
      <c r="C1" t="s">
        <v>84</v>
      </c>
      <c r="D1" t="s">
        <v>328</v>
      </c>
      <c r="F1" t="s">
        <v>329</v>
      </c>
      <c r="G1" t="s">
        <v>270</v>
      </c>
      <c r="H1" t="s">
        <v>330</v>
      </c>
      <c r="J1" t="s">
        <v>366</v>
      </c>
      <c r="K1" t="s">
        <v>367</v>
      </c>
    </row>
    <row r="2" spans="1:13">
      <c r="A2" t="s">
        <v>279</v>
      </c>
      <c r="B2" t="s">
        <v>183</v>
      </c>
      <c r="C2" t="s">
        <v>18</v>
      </c>
      <c r="D2" t="s">
        <v>331</v>
      </c>
      <c r="F2" t="s">
        <v>332</v>
      </c>
      <c r="G2" t="s">
        <v>285</v>
      </c>
      <c r="H2" t="s">
        <v>333</v>
      </c>
      <c r="J2" t="str">
        <f>VLOOKUP(Table18[[#This Row],[Emp_ID]],($A$2:$D$6),2,FALSE)</f>
        <v>Neha</v>
      </c>
      <c r="K2" t="str">
        <f>VLOOKUP(Table18[[#This Row],[Emp_ID]],($A$2:$D$6),3,FALSE)</f>
        <v>DEV</v>
      </c>
      <c r="M2" t="str">
        <f>_xlfn.XLOOKUP(G2, $A$2:$A$6, $B$2:$B$6, "Not Found")</f>
        <v>Neha</v>
      </c>
    </row>
    <row r="3" spans="1:13">
      <c r="A3" t="s">
        <v>281</v>
      </c>
      <c r="B3" t="s">
        <v>95</v>
      </c>
      <c r="C3" t="s">
        <v>100</v>
      </c>
      <c r="D3" t="s">
        <v>334</v>
      </c>
      <c r="F3" t="s">
        <v>335</v>
      </c>
      <c r="G3" t="s">
        <v>279</v>
      </c>
      <c r="H3" t="s">
        <v>336</v>
      </c>
      <c r="J3" t="str">
        <f>VLOOKUP(G5,Table16[#All],2,FALSE)</f>
        <v>Priya</v>
      </c>
      <c r="K3" t="str">
        <f>VLOOKUP(Table18[[#This Row],[Emp_ID]],($A$2:$D$6),3,FALSE)</f>
        <v>DEV</v>
      </c>
    </row>
    <row r="4" spans="1:13">
      <c r="A4" t="s">
        <v>283</v>
      </c>
      <c r="B4" t="s">
        <v>98</v>
      </c>
      <c r="C4" t="s">
        <v>22</v>
      </c>
      <c r="D4" t="s">
        <v>331</v>
      </c>
      <c r="F4" t="s">
        <v>337</v>
      </c>
      <c r="G4" t="s">
        <v>286</v>
      </c>
      <c r="H4" t="s">
        <v>338</v>
      </c>
      <c r="J4" t="e">
        <f>VLOOKUP(G6,Table16[#All],2,FALSE)</f>
        <v>#N/A</v>
      </c>
      <c r="K4" t="str">
        <f>VLOOKUP(Table18[[#This Row],[Emp_ID]],($A$2:$D$6),3,FALSE)</f>
        <v>DESIGN</v>
      </c>
    </row>
    <row r="5" spans="1:13">
      <c r="A5" t="s">
        <v>285</v>
      </c>
      <c r="B5" t="s">
        <v>102</v>
      </c>
      <c r="C5" t="s">
        <v>18</v>
      </c>
      <c r="D5" t="s">
        <v>339</v>
      </c>
      <c r="F5" t="s">
        <v>340</v>
      </c>
      <c r="G5" t="s">
        <v>281</v>
      </c>
      <c r="H5" t="s">
        <v>341</v>
      </c>
      <c r="J5" t="str">
        <f>VLOOKUP(G3,Table16[#All],2,FALSE)</f>
        <v>Aarav</v>
      </c>
      <c r="K5" t="str">
        <f>VLOOKUP(Table18[[#This Row],[Emp_ID]],($A$2:$D$6),3,FALSE)</f>
        <v>QA</v>
      </c>
    </row>
    <row r="6" spans="1:13">
      <c r="A6" t="s">
        <v>286</v>
      </c>
      <c r="B6" t="s">
        <v>106</v>
      </c>
      <c r="C6" t="s">
        <v>104</v>
      </c>
      <c r="D6" t="s">
        <v>334</v>
      </c>
      <c r="F6" t="s">
        <v>342</v>
      </c>
      <c r="G6" t="s">
        <v>292</v>
      </c>
      <c r="H6" t="s">
        <v>343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2E06-EB6B-48EA-A568-710B3D2458CF}">
  <dimension ref="A1:J111"/>
  <sheetViews>
    <sheetView topLeftCell="B1" workbookViewId="0">
      <selection activeCell="I2" sqref="I2"/>
    </sheetView>
  </sheetViews>
  <sheetFormatPr defaultRowHeight="15"/>
  <cols>
    <col min="1" max="1" width="13.42578125" bestFit="1" customWidth="1"/>
    <col min="3" max="3" width="18.28515625" customWidth="1"/>
    <col min="4" max="4" width="10.5703125" bestFit="1" customWidth="1"/>
    <col min="6" max="6" width="13.42578125" bestFit="1" customWidth="1"/>
    <col min="7" max="7" width="14.28515625" bestFit="1" customWidth="1"/>
    <col min="9" max="9" width="13.140625" customWidth="1"/>
    <col min="10" max="10" width="16.85546875" customWidth="1"/>
  </cols>
  <sheetData>
    <row r="1" spans="1:10">
      <c r="A1" t="s">
        <v>368</v>
      </c>
      <c r="B1" t="s">
        <v>174</v>
      </c>
      <c r="C1" t="s">
        <v>369</v>
      </c>
      <c r="D1" t="s">
        <v>370</v>
      </c>
      <c r="F1" t="s">
        <v>368</v>
      </c>
      <c r="G1" t="s">
        <v>371</v>
      </c>
      <c r="I1" t="s">
        <v>372</v>
      </c>
      <c r="J1" t="s">
        <v>369</v>
      </c>
    </row>
    <row r="2" spans="1:10">
      <c r="A2" t="s">
        <v>373</v>
      </c>
      <c r="B2" t="s">
        <v>183</v>
      </c>
      <c r="C2" t="s">
        <v>374</v>
      </c>
      <c r="D2" t="s">
        <v>375</v>
      </c>
      <c r="F2" t="s">
        <v>376</v>
      </c>
      <c r="G2">
        <v>88</v>
      </c>
      <c r="I2" t="str">
        <f>_xlfn.XLOOKUP(F2, $A$2:$A$51, $B$2:$B$51, "Not Found")</f>
        <v>Sneha</v>
      </c>
      <c r="J2" t="str">
        <f>_xlfn.XLOOKUP(I2,B2:B52,C2:C52,"Not Found",0)</f>
        <v>Marketing</v>
      </c>
    </row>
    <row r="3" spans="1:10">
      <c r="A3" t="s">
        <v>377</v>
      </c>
      <c r="B3" t="s">
        <v>95</v>
      </c>
      <c r="C3" t="s">
        <v>287</v>
      </c>
      <c r="D3" t="s">
        <v>378</v>
      </c>
      <c r="F3" t="s">
        <v>379</v>
      </c>
      <c r="G3">
        <v>92</v>
      </c>
      <c r="I3" t="str">
        <f t="shared" ref="I3:I51" si="0">_xlfn.XLOOKUP(F3, $A$2:$A$51, $B$2:$B$51, "Not Found")</f>
        <v>Alok</v>
      </c>
      <c r="J3" t="str">
        <f t="shared" ref="J3:J51" si="1">_xlfn.XLOOKUP(I3,B3:B53,C3:C53,"Not Found",0)</f>
        <v>Data Science</v>
      </c>
    </row>
    <row r="4" spans="1:10">
      <c r="A4" t="s">
        <v>380</v>
      </c>
      <c r="B4" t="s">
        <v>98</v>
      </c>
      <c r="C4" t="s">
        <v>290</v>
      </c>
      <c r="D4" t="s">
        <v>375</v>
      </c>
      <c r="F4" t="s">
        <v>380</v>
      </c>
      <c r="G4">
        <v>75</v>
      </c>
      <c r="I4" t="str">
        <f t="shared" si="0"/>
        <v>Amit</v>
      </c>
      <c r="J4" t="str">
        <f t="shared" si="1"/>
        <v>Marketing</v>
      </c>
    </row>
    <row r="5" spans="1:10">
      <c r="A5" t="s">
        <v>381</v>
      </c>
      <c r="B5" t="s">
        <v>102</v>
      </c>
      <c r="C5" t="s">
        <v>374</v>
      </c>
      <c r="D5" t="s">
        <v>382</v>
      </c>
      <c r="F5" t="s">
        <v>383</v>
      </c>
      <c r="G5">
        <v>65</v>
      </c>
      <c r="I5" t="str">
        <f t="shared" si="0"/>
        <v>Tarun</v>
      </c>
      <c r="J5" t="str">
        <f t="shared" si="1"/>
        <v>Computer Science</v>
      </c>
    </row>
    <row r="6" spans="1:10">
      <c r="A6" t="s">
        <v>384</v>
      </c>
      <c r="B6" t="s">
        <v>106</v>
      </c>
      <c r="C6" t="s">
        <v>385</v>
      </c>
      <c r="D6" t="s">
        <v>375</v>
      </c>
      <c r="F6" t="s">
        <v>386</v>
      </c>
      <c r="G6">
        <v>95</v>
      </c>
      <c r="I6" t="str">
        <f t="shared" si="0"/>
        <v>Kriti</v>
      </c>
      <c r="J6" t="str">
        <f t="shared" si="1"/>
        <v>Finance</v>
      </c>
    </row>
    <row r="7" spans="1:10">
      <c r="A7" t="s">
        <v>387</v>
      </c>
      <c r="B7" t="s">
        <v>109</v>
      </c>
      <c r="C7" t="s">
        <v>287</v>
      </c>
      <c r="D7" t="s">
        <v>388</v>
      </c>
      <c r="F7" t="s">
        <v>389</v>
      </c>
      <c r="G7">
        <v>82</v>
      </c>
      <c r="I7" t="str">
        <f t="shared" si="0"/>
        <v>Kiran</v>
      </c>
      <c r="J7" t="str">
        <f t="shared" si="1"/>
        <v>Computer Science</v>
      </c>
    </row>
    <row r="8" spans="1:10">
      <c r="A8" t="s">
        <v>390</v>
      </c>
      <c r="B8" t="s">
        <v>112</v>
      </c>
      <c r="C8" t="s">
        <v>290</v>
      </c>
      <c r="D8" t="s">
        <v>378</v>
      </c>
      <c r="F8" t="s">
        <v>390</v>
      </c>
      <c r="G8">
        <v>58</v>
      </c>
      <c r="I8" t="str">
        <f t="shared" si="0"/>
        <v>Rohan</v>
      </c>
      <c r="J8" t="str">
        <f t="shared" si="1"/>
        <v>Marketing</v>
      </c>
    </row>
    <row r="9" spans="1:10">
      <c r="A9" t="s">
        <v>391</v>
      </c>
      <c r="B9" t="s">
        <v>115</v>
      </c>
      <c r="C9" t="s">
        <v>374</v>
      </c>
      <c r="D9" t="s">
        <v>382</v>
      </c>
      <c r="F9" t="s">
        <v>392</v>
      </c>
      <c r="G9">
        <v>79</v>
      </c>
      <c r="I9" t="str">
        <f t="shared" si="0"/>
        <v>Harish</v>
      </c>
      <c r="J9" t="str">
        <f t="shared" si="1"/>
        <v>Data Science</v>
      </c>
    </row>
    <row r="10" spans="1:10">
      <c r="A10" t="s">
        <v>393</v>
      </c>
      <c r="B10" t="s">
        <v>118</v>
      </c>
      <c r="C10" t="s">
        <v>385</v>
      </c>
      <c r="D10" t="s">
        <v>375</v>
      </c>
      <c r="F10" t="s">
        <v>373</v>
      </c>
      <c r="G10">
        <v>91</v>
      </c>
      <c r="I10" t="str">
        <f t="shared" si="0"/>
        <v>Aarav</v>
      </c>
      <c r="J10" t="str">
        <f t="shared" si="1"/>
        <v>Not Found</v>
      </c>
    </row>
    <row r="11" spans="1:10">
      <c r="A11" t="s">
        <v>394</v>
      </c>
      <c r="B11" t="s">
        <v>121</v>
      </c>
      <c r="C11" t="s">
        <v>287</v>
      </c>
      <c r="D11" t="s">
        <v>388</v>
      </c>
      <c r="F11" t="s">
        <v>395</v>
      </c>
      <c r="G11">
        <v>68</v>
      </c>
      <c r="I11" t="str">
        <f t="shared" si="0"/>
        <v>Vivek</v>
      </c>
      <c r="J11" t="str">
        <f t="shared" si="1"/>
        <v>Finance</v>
      </c>
    </row>
    <row r="12" spans="1:10">
      <c r="A12" t="s">
        <v>396</v>
      </c>
      <c r="B12" t="s">
        <v>124</v>
      </c>
      <c r="C12" t="s">
        <v>374</v>
      </c>
      <c r="D12" t="s">
        <v>378</v>
      </c>
      <c r="F12" t="s">
        <v>397</v>
      </c>
      <c r="G12">
        <v>85</v>
      </c>
      <c r="I12" t="str">
        <f t="shared" si="0"/>
        <v>Shalini</v>
      </c>
      <c r="J12" t="str">
        <f t="shared" si="1"/>
        <v>Data Science</v>
      </c>
    </row>
    <row r="13" spans="1:10">
      <c r="A13" t="s">
        <v>376</v>
      </c>
      <c r="B13" t="s">
        <v>127</v>
      </c>
      <c r="C13" t="s">
        <v>290</v>
      </c>
      <c r="D13" t="s">
        <v>382</v>
      </c>
      <c r="F13" t="s">
        <v>398</v>
      </c>
      <c r="G13">
        <v>72</v>
      </c>
      <c r="I13" t="str">
        <f t="shared" si="0"/>
        <v>Priti</v>
      </c>
      <c r="J13" t="str">
        <f t="shared" si="1"/>
        <v>Computer Science</v>
      </c>
    </row>
    <row r="14" spans="1:10">
      <c r="A14" t="s">
        <v>399</v>
      </c>
      <c r="B14" t="s">
        <v>130</v>
      </c>
      <c r="C14" t="s">
        <v>385</v>
      </c>
      <c r="D14" t="s">
        <v>375</v>
      </c>
      <c r="F14" t="s">
        <v>384</v>
      </c>
      <c r="G14">
        <v>97</v>
      </c>
      <c r="I14" t="str">
        <f t="shared" si="0"/>
        <v>Vikram</v>
      </c>
      <c r="J14" t="str">
        <f t="shared" si="1"/>
        <v>Not Found</v>
      </c>
    </row>
    <row r="15" spans="1:10">
      <c r="A15" t="s">
        <v>400</v>
      </c>
      <c r="B15" t="s">
        <v>133</v>
      </c>
      <c r="C15" t="s">
        <v>374</v>
      </c>
      <c r="D15" t="s">
        <v>388</v>
      </c>
      <c r="F15" t="s">
        <v>401</v>
      </c>
      <c r="G15">
        <v>81</v>
      </c>
      <c r="I15" t="str">
        <f t="shared" si="0"/>
        <v>Gaurav</v>
      </c>
      <c r="J15" t="str">
        <f t="shared" si="1"/>
        <v>Data Science</v>
      </c>
    </row>
    <row r="16" spans="1:10">
      <c r="A16" t="s">
        <v>395</v>
      </c>
      <c r="B16" t="s">
        <v>136</v>
      </c>
      <c r="C16" t="s">
        <v>287</v>
      </c>
      <c r="D16" t="s">
        <v>378</v>
      </c>
      <c r="F16" t="s">
        <v>402</v>
      </c>
      <c r="G16">
        <v>63</v>
      </c>
      <c r="I16" t="str">
        <f t="shared" si="0"/>
        <v>Dev</v>
      </c>
      <c r="J16" t="str">
        <f t="shared" si="1"/>
        <v>Computer Science</v>
      </c>
    </row>
    <row r="17" spans="1:10">
      <c r="A17" t="s">
        <v>403</v>
      </c>
      <c r="B17" t="s">
        <v>139</v>
      </c>
      <c r="C17" t="s">
        <v>290</v>
      </c>
      <c r="D17" t="s">
        <v>375</v>
      </c>
      <c r="F17" t="s">
        <v>394</v>
      </c>
      <c r="G17">
        <v>89</v>
      </c>
      <c r="I17" t="str">
        <f t="shared" si="0"/>
        <v>Kavita</v>
      </c>
      <c r="J17" t="str">
        <f t="shared" si="1"/>
        <v>Not Found</v>
      </c>
    </row>
    <row r="18" spans="1:10">
      <c r="A18" t="s">
        <v>404</v>
      </c>
      <c r="B18" t="s">
        <v>92</v>
      </c>
      <c r="C18" t="s">
        <v>385</v>
      </c>
      <c r="D18" t="s">
        <v>382</v>
      </c>
      <c r="F18" t="s">
        <v>405</v>
      </c>
      <c r="G18">
        <v>76</v>
      </c>
      <c r="I18" t="str">
        <f t="shared" si="0"/>
        <v>Rekha</v>
      </c>
      <c r="J18" t="str">
        <f t="shared" si="1"/>
        <v>Computer Science</v>
      </c>
    </row>
    <row r="19" spans="1:10">
      <c r="A19" t="s">
        <v>389</v>
      </c>
      <c r="B19" t="s">
        <v>144</v>
      </c>
      <c r="C19" t="s">
        <v>374</v>
      </c>
      <c r="D19" t="s">
        <v>378</v>
      </c>
      <c r="F19" t="s">
        <v>406</v>
      </c>
      <c r="G19">
        <v>94</v>
      </c>
      <c r="I19" t="str">
        <f t="shared" si="0"/>
        <v>Suresh</v>
      </c>
      <c r="J19" t="str">
        <f t="shared" si="1"/>
        <v>Finance</v>
      </c>
    </row>
    <row r="20" spans="1:10">
      <c r="A20" t="s">
        <v>406</v>
      </c>
      <c r="B20" t="s">
        <v>147</v>
      </c>
      <c r="C20" t="s">
        <v>287</v>
      </c>
      <c r="D20" t="s">
        <v>388</v>
      </c>
      <c r="F20" t="s">
        <v>393</v>
      </c>
      <c r="G20">
        <v>84</v>
      </c>
      <c r="I20" t="str">
        <f t="shared" si="0"/>
        <v>Sanjay</v>
      </c>
      <c r="J20" t="str">
        <f t="shared" si="1"/>
        <v>Not Found</v>
      </c>
    </row>
    <row r="21" spans="1:10">
      <c r="A21" t="s">
        <v>407</v>
      </c>
      <c r="B21" t="s">
        <v>150</v>
      </c>
      <c r="C21" t="s">
        <v>290</v>
      </c>
      <c r="D21" t="s">
        <v>375</v>
      </c>
      <c r="F21" t="s">
        <v>408</v>
      </c>
      <c r="G21">
        <v>71</v>
      </c>
      <c r="I21" t="str">
        <f t="shared" si="0"/>
        <v>Raj</v>
      </c>
      <c r="J21" t="str">
        <f t="shared" si="1"/>
        <v>Finance</v>
      </c>
    </row>
    <row r="22" spans="1:10">
      <c r="A22" t="s">
        <v>409</v>
      </c>
      <c r="B22" t="s">
        <v>204</v>
      </c>
      <c r="C22" t="s">
        <v>385</v>
      </c>
      <c r="D22" t="s">
        <v>378</v>
      </c>
      <c r="F22" t="s">
        <v>410</v>
      </c>
      <c r="G22">
        <v>60</v>
      </c>
      <c r="I22" t="str">
        <f t="shared" si="0"/>
        <v>Varun</v>
      </c>
      <c r="J22" t="str">
        <f t="shared" si="1"/>
        <v>Marketing</v>
      </c>
    </row>
    <row r="23" spans="1:10">
      <c r="A23" t="s">
        <v>383</v>
      </c>
      <c r="B23" t="s">
        <v>206</v>
      </c>
      <c r="C23" t="s">
        <v>374</v>
      </c>
      <c r="D23" t="s">
        <v>382</v>
      </c>
      <c r="F23" t="s">
        <v>411</v>
      </c>
      <c r="G23">
        <v>88</v>
      </c>
      <c r="I23" t="str">
        <f t="shared" si="0"/>
        <v>Snehal</v>
      </c>
      <c r="J23" t="str">
        <f t="shared" si="1"/>
        <v>Marketing</v>
      </c>
    </row>
    <row r="24" spans="1:10">
      <c r="A24" t="s">
        <v>412</v>
      </c>
      <c r="B24" t="s">
        <v>208</v>
      </c>
      <c r="C24" t="s">
        <v>287</v>
      </c>
      <c r="D24" t="s">
        <v>388</v>
      </c>
      <c r="F24" t="s">
        <v>400</v>
      </c>
      <c r="G24">
        <v>93</v>
      </c>
      <c r="I24" t="str">
        <f t="shared" si="0"/>
        <v>Riya</v>
      </c>
      <c r="J24" t="str">
        <f t="shared" si="1"/>
        <v>Not Found</v>
      </c>
    </row>
    <row r="25" spans="1:10">
      <c r="A25" t="s">
        <v>410</v>
      </c>
      <c r="B25" t="s">
        <v>210</v>
      </c>
      <c r="C25" t="s">
        <v>290</v>
      </c>
      <c r="D25" t="s">
        <v>375</v>
      </c>
      <c r="F25" t="s">
        <v>377</v>
      </c>
      <c r="G25">
        <v>77</v>
      </c>
      <c r="I25" t="str">
        <f t="shared" si="0"/>
        <v>Priya</v>
      </c>
      <c r="J25" t="str">
        <f t="shared" si="1"/>
        <v>Not Found</v>
      </c>
    </row>
    <row r="26" spans="1:10">
      <c r="A26" t="s">
        <v>413</v>
      </c>
      <c r="B26" t="s">
        <v>212</v>
      </c>
      <c r="C26" t="s">
        <v>385</v>
      </c>
      <c r="D26" t="s">
        <v>378</v>
      </c>
      <c r="F26" t="s">
        <v>414</v>
      </c>
      <c r="G26">
        <v>86</v>
      </c>
      <c r="I26" t="str">
        <f t="shared" si="0"/>
        <v>Seema</v>
      </c>
      <c r="J26" t="str">
        <f t="shared" si="1"/>
        <v>Computer Science</v>
      </c>
    </row>
    <row r="27" spans="1:10">
      <c r="A27" t="s">
        <v>402</v>
      </c>
      <c r="B27" t="s">
        <v>214</v>
      </c>
      <c r="C27" t="s">
        <v>374</v>
      </c>
      <c r="D27" t="s">
        <v>382</v>
      </c>
      <c r="F27" t="s">
        <v>409</v>
      </c>
      <c r="G27">
        <v>69</v>
      </c>
      <c r="I27" t="str">
        <f t="shared" si="0"/>
        <v>Nisha</v>
      </c>
      <c r="J27" t="str">
        <f t="shared" si="1"/>
        <v>Not Found</v>
      </c>
    </row>
    <row r="28" spans="1:10">
      <c r="A28" t="s">
        <v>415</v>
      </c>
      <c r="B28" t="s">
        <v>216</v>
      </c>
      <c r="C28" t="s">
        <v>287</v>
      </c>
      <c r="D28" t="s">
        <v>375</v>
      </c>
      <c r="F28" t="s">
        <v>416</v>
      </c>
      <c r="G28">
        <v>90</v>
      </c>
      <c r="I28" t="str">
        <f t="shared" si="0"/>
        <v>Kajal</v>
      </c>
      <c r="J28" t="str">
        <f t="shared" si="1"/>
        <v>Marketing</v>
      </c>
    </row>
    <row r="29" spans="1:10">
      <c r="A29" t="s">
        <v>417</v>
      </c>
      <c r="B29" t="s">
        <v>218</v>
      </c>
      <c r="C29" t="s">
        <v>290</v>
      </c>
      <c r="D29" t="s">
        <v>388</v>
      </c>
      <c r="F29" t="s">
        <v>391</v>
      </c>
      <c r="G29">
        <v>83</v>
      </c>
      <c r="I29" t="str">
        <f t="shared" si="0"/>
        <v>Pooja</v>
      </c>
      <c r="J29" t="str">
        <f t="shared" si="1"/>
        <v>Not Found</v>
      </c>
    </row>
    <row r="30" spans="1:10">
      <c r="A30" t="s">
        <v>397</v>
      </c>
      <c r="B30" t="s">
        <v>220</v>
      </c>
      <c r="C30" t="s">
        <v>385</v>
      </c>
      <c r="D30" t="s">
        <v>378</v>
      </c>
      <c r="F30" t="s">
        <v>418</v>
      </c>
      <c r="G30">
        <v>74</v>
      </c>
      <c r="I30" t="str">
        <f t="shared" si="0"/>
        <v>Nitin</v>
      </c>
      <c r="J30" t="str">
        <f t="shared" si="1"/>
        <v>Data Science</v>
      </c>
    </row>
    <row r="31" spans="1:10">
      <c r="A31" t="s">
        <v>419</v>
      </c>
      <c r="B31" t="s">
        <v>222</v>
      </c>
      <c r="C31" t="s">
        <v>374</v>
      </c>
      <c r="D31" t="s">
        <v>375</v>
      </c>
      <c r="F31" t="s">
        <v>404</v>
      </c>
      <c r="G31">
        <v>96</v>
      </c>
      <c r="I31" t="str">
        <f t="shared" si="0"/>
        <v>Rahul</v>
      </c>
      <c r="J31" t="str">
        <f t="shared" si="1"/>
        <v>Not Found</v>
      </c>
    </row>
    <row r="32" spans="1:10">
      <c r="A32" t="s">
        <v>386</v>
      </c>
      <c r="B32" t="s">
        <v>420</v>
      </c>
      <c r="C32" t="s">
        <v>287</v>
      </c>
      <c r="D32" t="s">
        <v>382</v>
      </c>
      <c r="F32" t="s">
        <v>417</v>
      </c>
      <c r="G32">
        <v>67</v>
      </c>
      <c r="I32" t="str">
        <f t="shared" si="0"/>
        <v>Manoj</v>
      </c>
      <c r="J32" t="str">
        <f t="shared" si="1"/>
        <v>Not Found</v>
      </c>
    </row>
    <row r="33" spans="1:10">
      <c r="A33" t="s">
        <v>421</v>
      </c>
      <c r="B33" t="s">
        <v>422</v>
      </c>
      <c r="C33" t="s">
        <v>290</v>
      </c>
      <c r="D33" t="s">
        <v>378</v>
      </c>
      <c r="F33" t="s">
        <v>396</v>
      </c>
      <c r="G33">
        <v>80</v>
      </c>
      <c r="I33" t="str">
        <f>_xlfn.XLOOKUP(F33, $A$2:$A$51, $B$2:$B$51, "Not Found")</f>
        <v>Arjun</v>
      </c>
      <c r="J33" t="str">
        <f t="shared" si="1"/>
        <v>Not Found</v>
      </c>
    </row>
    <row r="34" spans="1:10">
      <c r="A34" t="s">
        <v>418</v>
      </c>
      <c r="B34" t="s">
        <v>423</v>
      </c>
      <c r="C34" t="s">
        <v>385</v>
      </c>
      <c r="D34" t="s">
        <v>388</v>
      </c>
      <c r="F34" t="s">
        <v>424</v>
      </c>
      <c r="G34">
        <v>98</v>
      </c>
      <c r="I34" t="str">
        <f t="shared" si="0"/>
        <v>Jyoti</v>
      </c>
      <c r="J34" t="str">
        <f t="shared" si="1"/>
        <v>Marketing</v>
      </c>
    </row>
    <row r="35" spans="1:10">
      <c r="A35" t="s">
        <v>405</v>
      </c>
      <c r="B35" t="s">
        <v>425</v>
      </c>
      <c r="C35" t="s">
        <v>374</v>
      </c>
      <c r="D35" t="s">
        <v>375</v>
      </c>
      <c r="F35" t="s">
        <v>381</v>
      </c>
      <c r="G35">
        <v>73</v>
      </c>
      <c r="I35" t="str">
        <f t="shared" si="0"/>
        <v>Neha</v>
      </c>
      <c r="J35" t="str">
        <f t="shared" si="1"/>
        <v>Not Found</v>
      </c>
    </row>
    <row r="36" spans="1:10">
      <c r="A36" t="s">
        <v>426</v>
      </c>
      <c r="B36" t="s">
        <v>427</v>
      </c>
      <c r="C36" t="s">
        <v>287</v>
      </c>
      <c r="D36" t="s">
        <v>382</v>
      </c>
      <c r="F36" t="s">
        <v>413</v>
      </c>
      <c r="G36">
        <v>87</v>
      </c>
      <c r="I36" t="str">
        <f t="shared" si="0"/>
        <v>Geeta</v>
      </c>
      <c r="J36" t="str">
        <f t="shared" si="1"/>
        <v>Not Found</v>
      </c>
    </row>
    <row r="37" spans="1:10">
      <c r="A37" t="s">
        <v>411</v>
      </c>
      <c r="B37" t="s">
        <v>428</v>
      </c>
      <c r="C37" t="s">
        <v>290</v>
      </c>
      <c r="D37" t="s">
        <v>378</v>
      </c>
      <c r="F37" t="s">
        <v>403</v>
      </c>
      <c r="G37">
        <v>62</v>
      </c>
      <c r="I37" t="str">
        <f t="shared" si="0"/>
        <v>Meera</v>
      </c>
      <c r="J37" t="str">
        <f t="shared" si="1"/>
        <v>Not Found</v>
      </c>
    </row>
    <row r="38" spans="1:10">
      <c r="A38" t="s">
        <v>429</v>
      </c>
      <c r="B38" t="s">
        <v>430</v>
      </c>
      <c r="C38" t="s">
        <v>385</v>
      </c>
      <c r="D38" t="s">
        <v>388</v>
      </c>
      <c r="F38" t="s">
        <v>431</v>
      </c>
      <c r="G38">
        <v>91</v>
      </c>
      <c r="I38" t="str">
        <f t="shared" si="0"/>
        <v>Anand</v>
      </c>
      <c r="J38" t="str">
        <f t="shared" si="1"/>
        <v>Finance</v>
      </c>
    </row>
    <row r="39" spans="1:10">
      <c r="A39" t="s">
        <v>398</v>
      </c>
      <c r="B39" t="s">
        <v>432</v>
      </c>
      <c r="C39" t="s">
        <v>374</v>
      </c>
      <c r="D39" t="s">
        <v>375</v>
      </c>
      <c r="F39" t="s">
        <v>387</v>
      </c>
      <c r="G39">
        <v>85</v>
      </c>
      <c r="I39" t="str">
        <f t="shared" si="0"/>
        <v>Anjali</v>
      </c>
      <c r="J39" t="str">
        <f t="shared" si="1"/>
        <v>Not Found</v>
      </c>
    </row>
    <row r="40" spans="1:10">
      <c r="A40" t="s">
        <v>431</v>
      </c>
      <c r="B40" t="s">
        <v>433</v>
      </c>
      <c r="C40" t="s">
        <v>287</v>
      </c>
      <c r="D40" t="s">
        <v>382</v>
      </c>
      <c r="F40" t="s">
        <v>434</v>
      </c>
      <c r="G40">
        <v>78</v>
      </c>
      <c r="I40" t="str">
        <f t="shared" si="0"/>
        <v>Maya</v>
      </c>
      <c r="J40" t="str">
        <f t="shared" si="1"/>
        <v>Marketing</v>
      </c>
    </row>
    <row r="41" spans="1:10">
      <c r="A41" t="s">
        <v>424</v>
      </c>
      <c r="B41" t="s">
        <v>435</v>
      </c>
      <c r="C41" t="s">
        <v>290</v>
      </c>
      <c r="D41" t="s">
        <v>378</v>
      </c>
      <c r="F41" t="s">
        <v>407</v>
      </c>
      <c r="G41">
        <v>66</v>
      </c>
      <c r="I41" t="str">
        <f t="shared" si="0"/>
        <v>Aarti</v>
      </c>
      <c r="J41" t="str">
        <f t="shared" si="1"/>
        <v>Not Found</v>
      </c>
    </row>
    <row r="42" spans="1:10">
      <c r="A42" t="s">
        <v>401</v>
      </c>
      <c r="B42" t="s">
        <v>436</v>
      </c>
      <c r="C42" t="s">
        <v>385</v>
      </c>
      <c r="D42" t="s">
        <v>388</v>
      </c>
      <c r="F42" t="s">
        <v>437</v>
      </c>
      <c r="G42">
        <v>92</v>
      </c>
      <c r="I42" t="str">
        <f t="shared" si="0"/>
        <v>Swati</v>
      </c>
      <c r="J42" t="str">
        <f t="shared" si="1"/>
        <v>Computer Science</v>
      </c>
    </row>
    <row r="43" spans="1:10">
      <c r="A43" t="s">
        <v>437</v>
      </c>
      <c r="B43" t="s">
        <v>438</v>
      </c>
      <c r="C43" t="s">
        <v>374</v>
      </c>
      <c r="D43" t="s">
        <v>375</v>
      </c>
      <c r="F43" t="s">
        <v>399</v>
      </c>
      <c r="G43">
        <v>81</v>
      </c>
      <c r="I43" t="str">
        <f t="shared" si="0"/>
        <v>Karan</v>
      </c>
      <c r="J43" t="str">
        <f t="shared" si="1"/>
        <v>Not Found</v>
      </c>
    </row>
    <row r="44" spans="1:10">
      <c r="A44" t="s">
        <v>439</v>
      </c>
      <c r="B44" t="s">
        <v>440</v>
      </c>
      <c r="C44" t="s">
        <v>287</v>
      </c>
      <c r="D44" t="s">
        <v>382</v>
      </c>
      <c r="F44" t="s">
        <v>419</v>
      </c>
      <c r="G44">
        <v>75</v>
      </c>
      <c r="I44" t="str">
        <f t="shared" si="0"/>
        <v>Yash</v>
      </c>
      <c r="J44" t="str">
        <f t="shared" si="1"/>
        <v>Not Found</v>
      </c>
    </row>
    <row r="45" spans="1:10">
      <c r="A45" t="s">
        <v>416</v>
      </c>
      <c r="B45" t="s">
        <v>441</v>
      </c>
      <c r="C45" t="s">
        <v>290</v>
      </c>
      <c r="D45" t="s">
        <v>378</v>
      </c>
      <c r="F45" t="s">
        <v>426</v>
      </c>
      <c r="G45">
        <v>89</v>
      </c>
      <c r="I45" t="str">
        <f t="shared" si="0"/>
        <v>Ajay</v>
      </c>
      <c r="J45" t="str">
        <f t="shared" si="1"/>
        <v>Not Found</v>
      </c>
    </row>
    <row r="46" spans="1:10">
      <c r="A46" t="s">
        <v>379</v>
      </c>
      <c r="B46" t="s">
        <v>442</v>
      </c>
      <c r="C46" t="s">
        <v>385</v>
      </c>
      <c r="D46" t="s">
        <v>388</v>
      </c>
      <c r="F46" t="s">
        <v>415</v>
      </c>
      <c r="G46">
        <v>64</v>
      </c>
      <c r="I46" t="str">
        <f t="shared" si="0"/>
        <v>Preeti</v>
      </c>
      <c r="J46" t="str">
        <f t="shared" si="1"/>
        <v>Not Found</v>
      </c>
    </row>
    <row r="47" spans="1:10">
      <c r="A47" t="s">
        <v>443</v>
      </c>
      <c r="B47" t="s">
        <v>444</v>
      </c>
      <c r="C47" t="s">
        <v>374</v>
      </c>
      <c r="D47" t="s">
        <v>375</v>
      </c>
      <c r="F47" t="s">
        <v>443</v>
      </c>
      <c r="G47">
        <v>94</v>
      </c>
      <c r="I47" t="str">
        <f>_xlfn.XLOOKUP(F47, $A$2:$A$51, $B$2:$B$51, "Not Found")</f>
        <v>Divya</v>
      </c>
      <c r="J47" t="str">
        <f t="shared" si="1"/>
        <v>Computer Science</v>
      </c>
    </row>
    <row r="48" spans="1:10">
      <c r="A48" t="s">
        <v>408</v>
      </c>
      <c r="B48" t="s">
        <v>445</v>
      </c>
      <c r="C48" t="s">
        <v>287</v>
      </c>
      <c r="D48" t="s">
        <v>382</v>
      </c>
      <c r="F48" t="s">
        <v>412</v>
      </c>
      <c r="G48">
        <v>70</v>
      </c>
      <c r="I48" t="str">
        <f t="shared" si="0"/>
        <v>Sonia</v>
      </c>
      <c r="J48" t="str">
        <f t="shared" si="1"/>
        <v>Not Found</v>
      </c>
    </row>
    <row r="49" spans="1:10">
      <c r="A49" t="s">
        <v>434</v>
      </c>
      <c r="B49" t="s">
        <v>446</v>
      </c>
      <c r="C49" t="s">
        <v>290</v>
      </c>
      <c r="D49" t="s">
        <v>378</v>
      </c>
      <c r="F49" t="s">
        <v>421</v>
      </c>
      <c r="G49">
        <v>82</v>
      </c>
      <c r="I49" t="str">
        <f t="shared" si="0"/>
        <v>Vijay</v>
      </c>
      <c r="J49" t="str">
        <f t="shared" si="1"/>
        <v>Not Found</v>
      </c>
    </row>
    <row r="50" spans="1:10">
      <c r="A50" t="s">
        <v>392</v>
      </c>
      <c r="B50" t="s">
        <v>447</v>
      </c>
      <c r="C50" t="s">
        <v>385</v>
      </c>
      <c r="D50" t="s">
        <v>388</v>
      </c>
      <c r="F50" t="s">
        <v>429</v>
      </c>
      <c r="G50">
        <v>76</v>
      </c>
      <c r="I50" t="str">
        <f t="shared" si="0"/>
        <v>Deepak</v>
      </c>
      <c r="J50" t="str">
        <f t="shared" si="1"/>
        <v>Not Found</v>
      </c>
    </row>
    <row r="51" spans="1:10">
      <c r="A51" t="s">
        <v>414</v>
      </c>
      <c r="B51" t="s">
        <v>448</v>
      </c>
      <c r="C51" t="s">
        <v>374</v>
      </c>
      <c r="D51" t="s">
        <v>375</v>
      </c>
      <c r="F51" t="s">
        <v>439</v>
      </c>
      <c r="G51">
        <v>95</v>
      </c>
      <c r="I51" t="str">
        <f t="shared" si="0"/>
        <v>Manish</v>
      </c>
      <c r="J51" t="str">
        <f t="shared" si="1"/>
        <v>Not Found</v>
      </c>
    </row>
    <row r="53" spans="1:10">
      <c r="A53">
        <f>COUNTA(A1:A52)</f>
        <v>51</v>
      </c>
    </row>
    <row r="54" spans="1:10">
      <c r="A54">
        <f>COUNTBLANK(A1:A52)</f>
        <v>1</v>
      </c>
    </row>
    <row r="55" spans="1:10">
      <c r="A55">
        <f>COUNT(A1:A52)</f>
        <v>0</v>
      </c>
    </row>
    <row r="56" spans="1:10">
      <c r="A56">
        <f>MAX(A1:A51)</f>
        <v>0</v>
      </c>
    </row>
    <row r="57" spans="1:10">
      <c r="A57">
        <f>MIN(A1:A52)</f>
        <v>0</v>
      </c>
    </row>
    <row r="58" spans="1:10">
      <c r="A58" t="str">
        <f>IF(B50="Hari","Is There","No match found")</f>
        <v>No match found</v>
      </c>
    </row>
    <row r="59" spans="1:10">
      <c r="A59" t="str">
        <f>IF(AND(B50="Hari",C50="Data Science"),"Matched","Check ones again")</f>
        <v>Check ones again</v>
      </c>
    </row>
    <row r="60" spans="1:10">
      <c r="A60" t="str" cm="1">
        <f t="array" ref="A60">IF(OR(B1:B51="Seema",C1:C51="Data Science"),"Some guess match","Check again")</f>
        <v>Some guess match</v>
      </c>
    </row>
    <row r="61" spans="1:10">
      <c r="A61" t="str">
        <f>IF(NOT(C50="Data Science"),"Come the College","Dont Come College")</f>
        <v>Dont Come College</v>
      </c>
    </row>
    <row r="62" spans="1:10">
      <c r="A62" t="str" cm="1">
        <f t="array" ref="A62:A111">IF(C2:C51="Data Science","Is Holiday",IF(C2:C51="Computer Science","Come At 3pm",IF(C2:C51="Finance","Come with File",IF(C2:C51="Marketing","Come with sale report"))))</f>
        <v>Come At 3pm</v>
      </c>
    </row>
    <row r="63" spans="1:10">
      <c r="A63" t="str">
        <v>Come with File</v>
      </c>
    </row>
    <row r="64" spans="1:10">
      <c r="A64" t="str">
        <v>Come with sale report</v>
      </c>
    </row>
    <row r="65" spans="1:1">
      <c r="A65" t="str">
        <v>Come At 3pm</v>
      </c>
    </row>
    <row r="66" spans="1:1">
      <c r="A66" t="str">
        <v>Is Holiday</v>
      </c>
    </row>
    <row r="67" spans="1:1">
      <c r="A67" t="str">
        <v>Come with File</v>
      </c>
    </row>
    <row r="68" spans="1:1">
      <c r="A68" t="str">
        <v>Come with sale report</v>
      </c>
    </row>
    <row r="69" spans="1:1">
      <c r="A69" t="str">
        <v>Come At 3pm</v>
      </c>
    </row>
    <row r="70" spans="1:1">
      <c r="A70" t="str">
        <v>Is Holiday</v>
      </c>
    </row>
    <row r="71" spans="1:1">
      <c r="A71" t="str">
        <v>Come with File</v>
      </c>
    </row>
    <row r="72" spans="1:1">
      <c r="A72" t="str">
        <v>Come At 3pm</v>
      </c>
    </row>
    <row r="73" spans="1:1">
      <c r="A73" t="str">
        <v>Come with sale report</v>
      </c>
    </row>
    <row r="74" spans="1:1">
      <c r="A74" t="str">
        <v>Is Holiday</v>
      </c>
    </row>
    <row r="75" spans="1:1">
      <c r="A75" t="str">
        <v>Come At 3pm</v>
      </c>
    </row>
    <row r="76" spans="1:1">
      <c r="A76" t="str">
        <v>Come with File</v>
      </c>
    </row>
    <row r="77" spans="1:1">
      <c r="A77" t="str">
        <v>Come with sale report</v>
      </c>
    </row>
    <row r="78" spans="1:1">
      <c r="A78" t="str">
        <v>Is Holiday</v>
      </c>
    </row>
    <row r="79" spans="1:1">
      <c r="A79" t="str">
        <v>Come At 3pm</v>
      </c>
    </row>
    <row r="80" spans="1:1">
      <c r="A80" t="str">
        <v>Come with File</v>
      </c>
    </row>
    <row r="81" spans="1:1">
      <c r="A81" t="str">
        <v>Come with sale report</v>
      </c>
    </row>
    <row r="82" spans="1:1">
      <c r="A82" t="str">
        <v>Is Holiday</v>
      </c>
    </row>
    <row r="83" spans="1:1">
      <c r="A83" t="str">
        <v>Come At 3pm</v>
      </c>
    </row>
    <row r="84" spans="1:1">
      <c r="A84" t="str">
        <v>Come with File</v>
      </c>
    </row>
    <row r="85" spans="1:1">
      <c r="A85" t="str">
        <v>Come with sale report</v>
      </c>
    </row>
    <row r="86" spans="1:1">
      <c r="A86" t="str">
        <v>Is Holiday</v>
      </c>
    </row>
    <row r="87" spans="1:1">
      <c r="A87" t="str">
        <v>Come At 3pm</v>
      </c>
    </row>
    <row r="88" spans="1:1">
      <c r="A88" t="str">
        <v>Come with File</v>
      </c>
    </row>
    <row r="89" spans="1:1">
      <c r="A89" t="str">
        <v>Come with sale report</v>
      </c>
    </row>
    <row r="90" spans="1:1">
      <c r="A90" t="str">
        <v>Is Holiday</v>
      </c>
    </row>
    <row r="91" spans="1:1">
      <c r="A91" t="str">
        <v>Come At 3pm</v>
      </c>
    </row>
    <row r="92" spans="1:1">
      <c r="A92" t="str">
        <v>Come with File</v>
      </c>
    </row>
    <row r="93" spans="1:1">
      <c r="A93" t="str">
        <v>Come with sale report</v>
      </c>
    </row>
    <row r="94" spans="1:1">
      <c r="A94" t="str">
        <v>Is Holiday</v>
      </c>
    </row>
    <row r="95" spans="1:1">
      <c r="A95" t="str">
        <v>Come At 3pm</v>
      </c>
    </row>
    <row r="96" spans="1:1">
      <c r="A96" t="str">
        <v>Come with File</v>
      </c>
    </row>
    <row r="97" spans="1:1">
      <c r="A97" t="str">
        <v>Come with sale report</v>
      </c>
    </row>
    <row r="98" spans="1:1">
      <c r="A98" t="str">
        <v>Is Holiday</v>
      </c>
    </row>
    <row r="99" spans="1:1">
      <c r="A99" t="str">
        <v>Come At 3pm</v>
      </c>
    </row>
    <row r="100" spans="1:1">
      <c r="A100" t="str">
        <v>Come with File</v>
      </c>
    </row>
    <row r="101" spans="1:1">
      <c r="A101" t="str">
        <v>Come with sale report</v>
      </c>
    </row>
    <row r="102" spans="1:1">
      <c r="A102" t="str">
        <v>Is Holiday</v>
      </c>
    </row>
    <row r="103" spans="1:1">
      <c r="A103" t="str">
        <v>Come At 3pm</v>
      </c>
    </row>
    <row r="104" spans="1:1">
      <c r="A104" t="str">
        <v>Come with File</v>
      </c>
    </row>
    <row r="105" spans="1:1">
      <c r="A105" t="str">
        <v>Come with sale report</v>
      </c>
    </row>
    <row r="106" spans="1:1">
      <c r="A106" t="str">
        <v>Is Holiday</v>
      </c>
    </row>
    <row r="107" spans="1:1">
      <c r="A107" t="str">
        <v>Come At 3pm</v>
      </c>
    </row>
    <row r="108" spans="1:1">
      <c r="A108" t="str">
        <v>Come with File</v>
      </c>
    </row>
    <row r="109" spans="1:1">
      <c r="A109" t="str">
        <v>Come with sale report</v>
      </c>
    </row>
    <row r="110" spans="1:1">
      <c r="A110" t="str">
        <v>Is Holiday</v>
      </c>
    </row>
    <row r="111" spans="1:1">
      <c r="A111" t="str">
        <v>Come At 3pm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177C-FB44-43A7-AB3A-76B1C7DCAC33}">
  <dimension ref="A3:B10"/>
  <sheetViews>
    <sheetView workbookViewId="0">
      <selection activeCell="A3" sqref="A3"/>
    </sheetView>
  </sheetViews>
  <sheetFormatPr defaultRowHeight="15"/>
  <cols>
    <col min="1" max="1" width="17.140625" bestFit="1" customWidth="1"/>
    <col min="2" max="2" width="22.42578125" bestFit="1" customWidth="1"/>
  </cols>
  <sheetData>
    <row r="3" spans="1:2">
      <c r="A3" s="7" t="s">
        <v>369</v>
      </c>
      <c r="B3" t="s">
        <v>449</v>
      </c>
    </row>
    <row r="4" spans="1:2">
      <c r="A4" t="s">
        <v>374</v>
      </c>
      <c r="B4" s="6">
        <v>78.75</v>
      </c>
    </row>
    <row r="5" spans="1:2">
      <c r="A5" t="s">
        <v>385</v>
      </c>
      <c r="B5" s="6">
        <v>82.2</v>
      </c>
    </row>
    <row r="6" spans="1:2">
      <c r="A6" t="s">
        <v>287</v>
      </c>
      <c r="B6" s="6">
        <v>83.8</v>
      </c>
    </row>
    <row r="7" spans="1:2">
      <c r="A7" t="s">
        <v>290</v>
      </c>
      <c r="B7" s="6">
        <v>79.375</v>
      </c>
    </row>
    <row r="8" spans="1:2">
      <c r="A8" t="s">
        <v>450</v>
      </c>
      <c r="B8" s="6">
        <v>80.458333333333329</v>
      </c>
    </row>
    <row r="9" spans="1:2">
      <c r="A9" t="s">
        <v>451</v>
      </c>
      <c r="B9" s="6"/>
    </row>
    <row r="10" spans="1:2">
      <c r="A10" t="s">
        <v>72</v>
      </c>
      <c r="B10" s="6">
        <v>80.52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18026-95E0-48C2-B149-68D3A6C49D8F}">
  <dimension ref="A1:K16"/>
  <sheetViews>
    <sheetView workbookViewId="0">
      <selection activeCell="G2" sqref="G2"/>
    </sheetView>
  </sheetViews>
  <sheetFormatPr defaultRowHeight="15"/>
  <cols>
    <col min="1" max="1" width="10.85546875" customWidth="1"/>
    <col min="2" max="2" width="12.85546875" bestFit="1" customWidth="1"/>
    <col min="3" max="3" width="11.28515625" bestFit="1" customWidth="1"/>
    <col min="4" max="4" width="10.7109375" bestFit="1" customWidth="1"/>
    <col min="5" max="5" width="12" customWidth="1"/>
    <col min="7" max="7" width="12.28515625" customWidth="1"/>
  </cols>
  <sheetData>
    <row r="1" spans="1:11">
      <c r="A1" t="s">
        <v>452</v>
      </c>
      <c r="B1" t="s">
        <v>453</v>
      </c>
      <c r="C1" t="s">
        <v>454</v>
      </c>
      <c r="D1" t="s">
        <v>455</v>
      </c>
      <c r="E1" t="s">
        <v>58</v>
      </c>
      <c r="G1" t="s">
        <v>456</v>
      </c>
    </row>
    <row r="2" spans="1:11">
      <c r="A2" t="s">
        <v>457</v>
      </c>
      <c r="B2" t="s">
        <v>458</v>
      </c>
      <c r="C2" t="s">
        <v>459</v>
      </c>
      <c r="D2">
        <v>150</v>
      </c>
      <c r="E2" t="s">
        <v>460</v>
      </c>
      <c r="G2" t="str" cm="1">
        <f t="array" ref="G2:G4">_xlfn.UNIQUE(Table20[User_Type],FALSE,FALSE)</f>
        <v>Member</v>
      </c>
      <c r="I2" t="s">
        <v>458</v>
      </c>
    </row>
    <row r="3" spans="1:11">
      <c r="A3" t="s">
        <v>461</v>
      </c>
      <c r="B3" t="s">
        <v>462</v>
      </c>
      <c r="C3" t="s">
        <v>463</v>
      </c>
      <c r="D3">
        <v>45</v>
      </c>
      <c r="E3" t="s">
        <v>464</v>
      </c>
      <c r="G3" t="str">
        <v>Guest</v>
      </c>
      <c r="I3" t="s">
        <v>462</v>
      </c>
    </row>
    <row r="4" spans="1:11">
      <c r="A4" t="s">
        <v>465</v>
      </c>
      <c r="B4" t="s">
        <v>458</v>
      </c>
      <c r="C4" t="s">
        <v>459</v>
      </c>
      <c r="D4">
        <v>220</v>
      </c>
      <c r="E4" t="s">
        <v>460</v>
      </c>
      <c r="G4" t="str">
        <v>Admin</v>
      </c>
      <c r="I4" t="s">
        <v>466</v>
      </c>
    </row>
    <row r="5" spans="1:11">
      <c r="A5" t="s">
        <v>467</v>
      </c>
      <c r="B5" t="s">
        <v>458</v>
      </c>
      <c r="C5" t="s">
        <v>463</v>
      </c>
      <c r="D5">
        <v>80</v>
      </c>
      <c r="E5" t="s">
        <v>460</v>
      </c>
    </row>
    <row r="6" spans="1:11">
      <c r="A6" t="s">
        <v>468</v>
      </c>
      <c r="B6" t="s">
        <v>462</v>
      </c>
      <c r="C6" t="s">
        <v>459</v>
      </c>
      <c r="D6">
        <v>15</v>
      </c>
      <c r="E6" t="s">
        <v>464</v>
      </c>
      <c r="G6" t="str" cm="1">
        <f t="array" ref="G6:K11">_xlfn._xlws.FILTER(Table20[], Table20[User_Type] = I2, "No data found")</f>
        <v>ORD-101</v>
      </c>
      <c r="H6" t="str">
        <v>Member</v>
      </c>
      <c r="I6" t="str">
        <v>Web</v>
      </c>
      <c r="J6">
        <v>150</v>
      </c>
      <c r="K6" t="str">
        <v>Success</v>
      </c>
    </row>
    <row r="7" spans="1:11">
      <c r="A7" t="s">
        <v>469</v>
      </c>
      <c r="B7" t="s">
        <v>466</v>
      </c>
      <c r="C7" t="s">
        <v>463</v>
      </c>
      <c r="D7">
        <v>300</v>
      </c>
      <c r="E7" t="s">
        <v>460</v>
      </c>
      <c r="G7" t="str">
        <v>ORD-103</v>
      </c>
      <c r="H7" t="str">
        <v>Member</v>
      </c>
      <c r="I7" t="str">
        <v>Web</v>
      </c>
      <c r="J7">
        <v>220</v>
      </c>
      <c r="K7" t="str">
        <v>Success</v>
      </c>
    </row>
    <row r="8" spans="1:11">
      <c r="A8" t="s">
        <v>470</v>
      </c>
      <c r="B8" t="s">
        <v>458</v>
      </c>
      <c r="C8" t="s">
        <v>459</v>
      </c>
      <c r="D8">
        <v>110</v>
      </c>
      <c r="E8" t="s">
        <v>471</v>
      </c>
      <c r="G8" t="str">
        <v>ORD-104</v>
      </c>
      <c r="H8" t="str">
        <v>Member</v>
      </c>
      <c r="I8" t="str">
        <v>Mobile</v>
      </c>
      <c r="J8">
        <v>80</v>
      </c>
      <c r="K8" t="str">
        <v>Success</v>
      </c>
    </row>
    <row r="9" spans="1:11">
      <c r="A9" t="s">
        <v>472</v>
      </c>
      <c r="B9" t="s">
        <v>462</v>
      </c>
      <c r="C9" t="s">
        <v>463</v>
      </c>
      <c r="D9">
        <v>60</v>
      </c>
      <c r="E9" t="s">
        <v>460</v>
      </c>
      <c r="G9" t="str">
        <v>ORD-107</v>
      </c>
      <c r="H9" t="str">
        <v>Member</v>
      </c>
      <c r="I9" t="str">
        <v>Web</v>
      </c>
      <c r="J9">
        <v>110</v>
      </c>
      <c r="K9" t="str">
        <v>Pending</v>
      </c>
    </row>
    <row r="10" spans="1:11">
      <c r="A10" t="s">
        <v>473</v>
      </c>
      <c r="B10" t="s">
        <v>458</v>
      </c>
      <c r="C10" t="s">
        <v>459</v>
      </c>
      <c r="D10">
        <v>95</v>
      </c>
      <c r="E10" t="s">
        <v>464</v>
      </c>
      <c r="G10" t="str">
        <v>ORD-109</v>
      </c>
      <c r="H10" t="str">
        <v>Member</v>
      </c>
      <c r="I10" t="str">
        <v>Web</v>
      </c>
      <c r="J10">
        <v>95</v>
      </c>
      <c r="K10" t="str">
        <v>Failed</v>
      </c>
    </row>
    <row r="11" spans="1:11">
      <c r="A11" t="s">
        <v>474</v>
      </c>
      <c r="B11" t="s">
        <v>466</v>
      </c>
      <c r="C11" t="s">
        <v>459</v>
      </c>
      <c r="D11">
        <v>410</v>
      </c>
      <c r="E11" t="s">
        <v>460</v>
      </c>
      <c r="G11" t="str">
        <v>ORD-112</v>
      </c>
      <c r="H11" t="str">
        <v>Member</v>
      </c>
      <c r="I11" t="str">
        <v>Mobile</v>
      </c>
      <c r="J11">
        <v>130</v>
      </c>
      <c r="K11" t="str">
        <v>Success</v>
      </c>
    </row>
    <row r="12" spans="1:11">
      <c r="A12" t="s">
        <v>475</v>
      </c>
      <c r="B12" t="s">
        <v>462</v>
      </c>
      <c r="C12" t="s">
        <v>463</v>
      </c>
      <c r="D12">
        <v>25</v>
      </c>
      <c r="E12" t="s">
        <v>471</v>
      </c>
    </row>
    <row r="13" spans="1:11">
      <c r="A13" t="s">
        <v>476</v>
      </c>
      <c r="B13" t="s">
        <v>458</v>
      </c>
      <c r="C13" t="s">
        <v>463</v>
      </c>
      <c r="D13">
        <v>130</v>
      </c>
      <c r="E13" t="s">
        <v>460</v>
      </c>
      <c r="G13" t="str" cm="1">
        <f t="array" ref="G13:K16">_xlfn._xlws.FILTER(Table20[],Table20[User_Type]=I3,"No data Match")</f>
        <v>ORD-102</v>
      </c>
      <c r="H13" t="str">
        <v>Guest</v>
      </c>
      <c r="I13" t="str">
        <v>Mobile</v>
      </c>
      <c r="J13">
        <v>45</v>
      </c>
      <c r="K13" t="str">
        <v>Failed</v>
      </c>
    </row>
    <row r="14" spans="1:11">
      <c r="G14" t="str">
        <v>ORD-105</v>
      </c>
      <c r="H14" t="str">
        <v>Guest</v>
      </c>
      <c r="I14" t="str">
        <v>Web</v>
      </c>
      <c r="J14">
        <v>15</v>
      </c>
      <c r="K14" t="str">
        <v>Failed</v>
      </c>
    </row>
    <row r="15" spans="1:11">
      <c r="G15" t="str">
        <v>ORD-108</v>
      </c>
      <c r="H15" t="str">
        <v>Guest</v>
      </c>
      <c r="I15" t="str">
        <v>Mobile</v>
      </c>
      <c r="J15">
        <v>60</v>
      </c>
      <c r="K15" t="str">
        <v>Success</v>
      </c>
    </row>
    <row r="16" spans="1:11">
      <c r="G16" t="str">
        <v>ORD-111</v>
      </c>
      <c r="H16" t="str">
        <v>Guest</v>
      </c>
      <c r="I16" t="str">
        <v>Mobile</v>
      </c>
      <c r="J16">
        <v>25</v>
      </c>
      <c r="K16" t="str">
        <v>Pending</v>
      </c>
    </row>
  </sheetData>
  <dataValidations count="1">
    <dataValidation type="list" allowBlank="1" showInputMessage="1" showErrorMessage="1" sqref="I2:I4" xr:uid="{3B0D5294-71D1-43D4-812F-A138A34D6765}">
      <formula1>G2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5E93-86A1-49D3-95B7-8293EAAD04B9}">
  <dimension ref="A3:B6"/>
  <sheetViews>
    <sheetView workbookViewId="0">
      <selection activeCell="A3" sqref="A3"/>
    </sheetView>
  </sheetViews>
  <sheetFormatPr defaultRowHeight="15"/>
  <cols>
    <col min="1" max="1" width="12.140625" bestFit="1" customWidth="1"/>
    <col min="2" max="2" width="15.28515625" bestFit="1" customWidth="1"/>
    <col min="3" max="3" width="8.28515625" bestFit="1" customWidth="1"/>
    <col min="4" max="4" width="7.85546875" bestFit="1" customWidth="1"/>
    <col min="5" max="5" width="11.7109375" bestFit="1" customWidth="1"/>
  </cols>
  <sheetData>
    <row r="3" spans="1:2">
      <c r="A3" s="7" t="s">
        <v>454</v>
      </c>
      <c r="B3" t="s">
        <v>477</v>
      </c>
    </row>
    <row r="4" spans="1:2">
      <c r="A4" t="s">
        <v>463</v>
      </c>
      <c r="B4" s="6">
        <v>45</v>
      </c>
    </row>
    <row r="5" spans="1:2">
      <c r="A5" t="s">
        <v>459</v>
      </c>
      <c r="B5" s="6">
        <v>110</v>
      </c>
    </row>
    <row r="6" spans="1:2">
      <c r="A6" t="s">
        <v>72</v>
      </c>
      <c r="B6" s="6">
        <v>155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DDB5D-AB3E-4A1D-AB80-BCFBFF6AB545}">
  <dimension ref="A1:K11"/>
  <sheetViews>
    <sheetView workbookViewId="0">
      <selection activeCell="G2" sqref="G2"/>
    </sheetView>
  </sheetViews>
  <sheetFormatPr defaultRowHeight="15"/>
  <cols>
    <col min="1" max="1" width="11" bestFit="1" customWidth="1"/>
    <col min="2" max="2" width="15.5703125" bestFit="1" customWidth="1"/>
    <col min="3" max="3" width="12" customWidth="1"/>
    <col min="4" max="4" width="17" bestFit="1" customWidth="1"/>
    <col min="5" max="5" width="16.140625" bestFit="1" customWidth="1"/>
    <col min="7" max="7" width="18.28515625" customWidth="1"/>
  </cols>
  <sheetData>
    <row r="1" spans="1:11">
      <c r="A1" s="18" t="s">
        <v>270</v>
      </c>
      <c r="B1" s="19" t="s">
        <v>84</v>
      </c>
      <c r="C1" s="19" t="s">
        <v>478</v>
      </c>
      <c r="D1" s="19" t="s">
        <v>479</v>
      </c>
      <c r="E1" s="20" t="s">
        <v>480</v>
      </c>
      <c r="G1" t="s">
        <v>481</v>
      </c>
    </row>
    <row r="2" spans="1:11">
      <c r="A2" s="16" t="s">
        <v>482</v>
      </c>
      <c r="B2" s="15" t="s">
        <v>483</v>
      </c>
      <c r="C2" s="15" t="s">
        <v>50</v>
      </c>
      <c r="D2" s="15">
        <v>12</v>
      </c>
      <c r="E2" s="17" t="s">
        <v>484</v>
      </c>
      <c r="G2" t="str" cm="1">
        <f t="array" ref="G2:K6">_xlfn._xlws.FILTER(Table22[], (Table22[Days_Inactive]&gt;30) * ((Table22[Access_Level]="High") + (Table22[Access_Level]="Admin")), "No Risk")</f>
        <v>E-102</v>
      </c>
      <c r="H2" t="str">
        <v>Finance</v>
      </c>
      <c r="I2" t="str">
        <v>Analyst</v>
      </c>
      <c r="J2">
        <v>45</v>
      </c>
      <c r="K2" t="str">
        <v>High</v>
      </c>
    </row>
    <row r="3" spans="1:11">
      <c r="A3" s="16" t="s">
        <v>485</v>
      </c>
      <c r="B3" s="15" t="s">
        <v>287</v>
      </c>
      <c r="C3" s="15" t="s">
        <v>486</v>
      </c>
      <c r="D3" s="15">
        <v>45</v>
      </c>
      <c r="E3" s="17" t="s">
        <v>487</v>
      </c>
      <c r="G3" t="str">
        <v>E-105</v>
      </c>
      <c r="H3" t="str">
        <v>IT</v>
      </c>
      <c r="I3" t="str">
        <v>SysAdmin</v>
      </c>
      <c r="J3">
        <v>32</v>
      </c>
      <c r="K3" t="str">
        <v>Admin</v>
      </c>
    </row>
    <row r="4" spans="1:11">
      <c r="A4" s="16" t="s">
        <v>488</v>
      </c>
      <c r="B4" s="15" t="s">
        <v>483</v>
      </c>
      <c r="C4" s="15" t="s">
        <v>87</v>
      </c>
      <c r="D4" s="15">
        <v>5</v>
      </c>
      <c r="E4" s="17" t="s">
        <v>466</v>
      </c>
      <c r="G4" t="str">
        <v>E-106</v>
      </c>
      <c r="H4" t="str">
        <v>Finance</v>
      </c>
      <c r="I4" t="str">
        <v>Director</v>
      </c>
      <c r="J4">
        <v>65</v>
      </c>
      <c r="K4" t="str">
        <v>High</v>
      </c>
    </row>
    <row r="5" spans="1:11">
      <c r="A5" s="16" t="s">
        <v>489</v>
      </c>
      <c r="B5" s="15" t="s">
        <v>22</v>
      </c>
      <c r="C5" s="15" t="s">
        <v>490</v>
      </c>
      <c r="D5" s="15">
        <v>90</v>
      </c>
      <c r="E5" s="17" t="s">
        <v>484</v>
      </c>
      <c r="G5" t="str">
        <v>E-108</v>
      </c>
      <c r="H5" t="str">
        <v>IT</v>
      </c>
      <c r="I5" t="str">
        <v>Support</v>
      </c>
      <c r="J5">
        <v>120</v>
      </c>
      <c r="K5" t="str">
        <v>High</v>
      </c>
    </row>
    <row r="6" spans="1:11">
      <c r="A6" s="16" t="s">
        <v>491</v>
      </c>
      <c r="B6" s="15" t="s">
        <v>282</v>
      </c>
      <c r="C6" s="15" t="s">
        <v>492</v>
      </c>
      <c r="D6" s="15">
        <v>32</v>
      </c>
      <c r="E6" s="17" t="s">
        <v>466</v>
      </c>
      <c r="G6" t="str">
        <v>E-110</v>
      </c>
      <c r="H6" t="str">
        <v>IT</v>
      </c>
      <c r="I6" t="str">
        <v>SysAdmin</v>
      </c>
      <c r="J6">
        <v>55</v>
      </c>
      <c r="K6" t="str">
        <v>Admin</v>
      </c>
    </row>
    <row r="7" spans="1:11">
      <c r="A7" s="16" t="s">
        <v>493</v>
      </c>
      <c r="B7" s="15" t="s">
        <v>287</v>
      </c>
      <c r="C7" s="15" t="s">
        <v>494</v>
      </c>
      <c r="D7" s="15">
        <v>65</v>
      </c>
      <c r="E7" s="17" t="s">
        <v>487</v>
      </c>
    </row>
    <row r="8" spans="1:11">
      <c r="A8" s="16" t="s">
        <v>495</v>
      </c>
      <c r="B8" s="15" t="s">
        <v>290</v>
      </c>
      <c r="C8" s="15" t="s">
        <v>496</v>
      </c>
      <c r="D8" s="15">
        <v>10</v>
      </c>
      <c r="E8" s="17" t="s">
        <v>484</v>
      </c>
    </row>
    <row r="9" spans="1:11">
      <c r="A9" s="16" t="s">
        <v>497</v>
      </c>
      <c r="B9" s="15" t="s">
        <v>282</v>
      </c>
      <c r="C9" s="15" t="s">
        <v>498</v>
      </c>
      <c r="D9" s="15">
        <v>120</v>
      </c>
      <c r="E9" s="17" t="s">
        <v>487</v>
      </c>
    </row>
    <row r="10" spans="1:11">
      <c r="A10" s="16" t="s">
        <v>499</v>
      </c>
      <c r="B10" s="15" t="s">
        <v>483</v>
      </c>
      <c r="C10" s="15" t="s">
        <v>50</v>
      </c>
      <c r="D10" s="15">
        <v>4</v>
      </c>
      <c r="E10" s="17" t="s">
        <v>484</v>
      </c>
    </row>
    <row r="11" spans="1:11">
      <c r="A11" s="21" t="s">
        <v>500</v>
      </c>
      <c r="B11" s="22" t="s">
        <v>282</v>
      </c>
      <c r="C11" s="22" t="s">
        <v>492</v>
      </c>
      <c r="D11" s="22">
        <v>55</v>
      </c>
      <c r="E11" s="23" t="s">
        <v>466</v>
      </c>
    </row>
  </sheetData>
  <conditionalFormatting sqref="A2:E11">
    <cfRule type="expression" dxfId="12" priority="1">
      <formula>$D2&gt;60</formula>
    </cfRule>
  </conditionalFormatting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60DA-7DCA-4A37-B0B1-6A48889C4144}">
  <dimension ref="A1:Q9"/>
  <sheetViews>
    <sheetView workbookViewId="0">
      <selection activeCell="M2" sqref="M2"/>
    </sheetView>
  </sheetViews>
  <sheetFormatPr defaultRowHeight="15"/>
  <cols>
    <col min="1" max="1" width="11.42578125" bestFit="1" customWidth="1"/>
    <col min="2" max="2" width="11.85546875" bestFit="1" customWidth="1"/>
    <col min="3" max="3" width="12" bestFit="1" customWidth="1"/>
    <col min="4" max="4" width="14.5703125" bestFit="1" customWidth="1"/>
  </cols>
  <sheetData>
    <row r="1" spans="1:17">
      <c r="A1" t="s">
        <v>501</v>
      </c>
      <c r="B1" t="s">
        <v>502</v>
      </c>
      <c r="C1" t="s">
        <v>503</v>
      </c>
      <c r="D1" t="s">
        <v>504</v>
      </c>
      <c r="E1" t="s">
        <v>58</v>
      </c>
      <c r="G1" t="s">
        <v>505</v>
      </c>
    </row>
    <row r="2" spans="1:17">
      <c r="A2" t="s">
        <v>506</v>
      </c>
      <c r="B2" t="s">
        <v>507</v>
      </c>
      <c r="C2">
        <v>15000</v>
      </c>
      <c r="D2" s="4">
        <v>0.4</v>
      </c>
      <c r="E2" t="s">
        <v>508</v>
      </c>
      <c r="G2" t="str" cm="1">
        <f t="array" ref="G2:K7">_xlfn._xlws.SORT(_xlfn._xlws.FILTER(Table24[],Table24[Status]="Open","not data"),3,-1)</f>
        <v>L-08</v>
      </c>
      <c r="H2" t="str">
        <v>Orion LLC</v>
      </c>
      <c r="I2">
        <v>95000</v>
      </c>
      <c r="J2">
        <v>0.05</v>
      </c>
      <c r="K2" t="str">
        <v>Open</v>
      </c>
      <c r="M2" t="str" cm="1">
        <f t="array" ref="M2:Q4">_xlfn.TAKE(_xlfn._xlws.SORT(_xlfn._xlws.FILTER(Table24[],Table24[Status]="Open","not data"),3,-1),3)</f>
        <v>L-08</v>
      </c>
      <c r="N2" t="str">
        <v>Orion LLC</v>
      </c>
      <c r="O2">
        <v>95000</v>
      </c>
      <c r="P2">
        <v>0.05</v>
      </c>
      <c r="Q2" t="str">
        <v>Open</v>
      </c>
    </row>
    <row r="3" spans="1:17">
      <c r="A3" t="s">
        <v>509</v>
      </c>
      <c r="B3" t="s">
        <v>510</v>
      </c>
      <c r="C3">
        <v>45000</v>
      </c>
      <c r="D3" s="4">
        <v>0.8</v>
      </c>
      <c r="E3" t="s">
        <v>508</v>
      </c>
      <c r="G3" t="str">
        <v>L-04</v>
      </c>
      <c r="H3" t="str">
        <v>Nexus Co</v>
      </c>
      <c r="I3">
        <v>85000</v>
      </c>
      <c r="J3">
        <v>0.2</v>
      </c>
      <c r="K3" t="str">
        <v>Open</v>
      </c>
      <c r="M3" t="str">
        <v>L-04</v>
      </c>
      <c r="N3" t="str">
        <v>Nexus Co</v>
      </c>
      <c r="O3">
        <v>85000</v>
      </c>
      <c r="P3">
        <v>0.2</v>
      </c>
      <c r="Q3" t="str">
        <v>Open</v>
      </c>
    </row>
    <row r="4" spans="1:17">
      <c r="A4" t="s">
        <v>511</v>
      </c>
      <c r="B4" t="s">
        <v>512</v>
      </c>
      <c r="C4">
        <v>12000</v>
      </c>
      <c r="D4" s="4">
        <v>0.9</v>
      </c>
      <c r="E4" t="s">
        <v>513</v>
      </c>
      <c r="G4" t="str">
        <v>L-05</v>
      </c>
      <c r="H4" t="str">
        <v>Zenith Ltd</v>
      </c>
      <c r="I4">
        <v>62000</v>
      </c>
      <c r="J4">
        <v>0.6</v>
      </c>
      <c r="K4" t="str">
        <v>Open</v>
      </c>
      <c r="M4" t="str">
        <v>L-05</v>
      </c>
      <c r="N4" t="str">
        <v>Zenith Ltd</v>
      </c>
      <c r="O4">
        <v>62000</v>
      </c>
      <c r="P4">
        <v>0.6</v>
      </c>
      <c r="Q4" t="str">
        <v>Open</v>
      </c>
    </row>
    <row r="5" spans="1:17">
      <c r="A5" t="s">
        <v>514</v>
      </c>
      <c r="B5" t="s">
        <v>515</v>
      </c>
      <c r="C5">
        <v>85000</v>
      </c>
      <c r="D5" s="4">
        <v>0.2</v>
      </c>
      <c r="E5" t="s">
        <v>508</v>
      </c>
      <c r="G5" t="str">
        <v>L-07</v>
      </c>
      <c r="H5" t="str">
        <v>Atlas Corp</v>
      </c>
      <c r="I5">
        <v>51000</v>
      </c>
      <c r="J5">
        <v>0.75</v>
      </c>
      <c r="K5" t="str">
        <v>Open</v>
      </c>
    </row>
    <row r="6" spans="1:17">
      <c r="A6" t="s">
        <v>516</v>
      </c>
      <c r="B6" t="s">
        <v>517</v>
      </c>
      <c r="C6">
        <v>62000</v>
      </c>
      <c r="D6" s="4">
        <v>0.6</v>
      </c>
      <c r="E6" t="s">
        <v>508</v>
      </c>
      <c r="G6" t="str">
        <v>L-02</v>
      </c>
      <c r="H6" t="str">
        <v>Vertex LLC</v>
      </c>
      <c r="I6">
        <v>45000</v>
      </c>
      <c r="J6">
        <v>0.8</v>
      </c>
      <c r="K6" t="str">
        <v>Open</v>
      </c>
    </row>
    <row r="7" spans="1:17">
      <c r="A7" t="s">
        <v>518</v>
      </c>
      <c r="B7" t="s">
        <v>519</v>
      </c>
      <c r="C7">
        <v>24000</v>
      </c>
      <c r="D7" s="4">
        <v>0.1</v>
      </c>
      <c r="E7" t="s">
        <v>520</v>
      </c>
      <c r="G7" t="str">
        <v>L-01</v>
      </c>
      <c r="H7" t="str">
        <v>Apex Corp</v>
      </c>
      <c r="I7">
        <v>15000</v>
      </c>
      <c r="J7">
        <v>0.4</v>
      </c>
      <c r="K7" t="str">
        <v>Open</v>
      </c>
    </row>
    <row r="8" spans="1:17">
      <c r="A8" t="s">
        <v>521</v>
      </c>
      <c r="B8" t="s">
        <v>522</v>
      </c>
      <c r="C8">
        <v>51000</v>
      </c>
      <c r="D8" s="4">
        <v>0.75</v>
      </c>
      <c r="E8" t="s">
        <v>508</v>
      </c>
    </row>
    <row r="9" spans="1:17">
      <c r="A9" t="s">
        <v>523</v>
      </c>
      <c r="B9" t="s">
        <v>524</v>
      </c>
      <c r="C9">
        <v>95000</v>
      </c>
      <c r="D9" s="4">
        <v>0.05</v>
      </c>
      <c r="E9" t="s">
        <v>508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4C50-DC23-419D-8B06-270E856F54F0}">
  <dimension ref="A3:B6"/>
  <sheetViews>
    <sheetView workbookViewId="0">
      <selection activeCell="A3" sqref="A3"/>
    </sheetView>
  </sheetViews>
  <sheetFormatPr defaultRowHeight="15"/>
  <cols>
    <col min="1" max="1" width="13.7109375" bestFit="1" customWidth="1"/>
    <col min="2" max="2" width="14.7109375" bestFit="1" customWidth="1"/>
  </cols>
  <sheetData>
    <row r="3" spans="1:2">
      <c r="A3" s="7" t="s">
        <v>525</v>
      </c>
      <c r="B3" t="s">
        <v>526</v>
      </c>
    </row>
    <row r="4" spans="1:2">
      <c r="A4" t="s">
        <v>527</v>
      </c>
      <c r="B4" s="6">
        <v>1</v>
      </c>
    </row>
    <row r="5" spans="1:2">
      <c r="A5" t="s">
        <v>528</v>
      </c>
      <c r="B5" s="6">
        <v>2</v>
      </c>
    </row>
    <row r="6" spans="1:2">
      <c r="A6" t="s">
        <v>72</v>
      </c>
      <c r="B6" s="6">
        <v>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74C8-CE7D-4C88-9C15-C6F698461073}">
  <dimension ref="A1:L9"/>
  <sheetViews>
    <sheetView workbookViewId="0">
      <selection activeCell="L2" sqref="L2"/>
    </sheetView>
  </sheetViews>
  <sheetFormatPr defaultRowHeight="15"/>
  <cols>
    <col min="1" max="1" width="10.28515625" bestFit="1" customWidth="1"/>
    <col min="3" max="3" width="10.7109375" bestFit="1" customWidth="1"/>
    <col min="5" max="5" width="10.7109375" bestFit="1" customWidth="1"/>
    <col min="6" max="6" width="9.7109375" bestFit="1" customWidth="1"/>
    <col min="7" max="7" width="14.7109375" customWidth="1"/>
    <col min="8" max="8" width="10.7109375" bestFit="1" customWidth="1"/>
    <col min="9" max="9" width="14.140625" customWidth="1"/>
    <col min="11" max="11" width="15.140625" customWidth="1"/>
    <col min="12" max="12" width="10.5703125" customWidth="1"/>
  </cols>
  <sheetData>
    <row r="1" spans="1:12">
      <c r="A1" t="s">
        <v>270</v>
      </c>
      <c r="B1" t="s">
        <v>174</v>
      </c>
      <c r="C1" t="s">
        <v>529</v>
      </c>
      <c r="D1" t="s">
        <v>530</v>
      </c>
      <c r="E1" t="s">
        <v>531</v>
      </c>
      <c r="F1" t="s">
        <v>532</v>
      </c>
      <c r="G1" t="s">
        <v>84</v>
      </c>
      <c r="H1" t="s">
        <v>529</v>
      </c>
      <c r="I1" t="s">
        <v>533</v>
      </c>
      <c r="J1" t="s">
        <v>534</v>
      </c>
      <c r="K1" t="s">
        <v>535</v>
      </c>
      <c r="L1" t="s">
        <v>525</v>
      </c>
    </row>
    <row r="2" spans="1:12">
      <c r="A2" t="s">
        <v>536</v>
      </c>
      <c r="B2" t="s">
        <v>183</v>
      </c>
      <c r="C2" t="s">
        <v>537</v>
      </c>
      <c r="D2">
        <v>95</v>
      </c>
      <c r="E2" t="s">
        <v>280</v>
      </c>
      <c r="F2">
        <v>2</v>
      </c>
      <c r="G2" t="str" cm="1">
        <f t="array" ref="G2">_xlfn.XLOOKUP(C2,Table25[[#All],[Dept_ID]],Table25[[#All],[Dept_Name]],,0)</f>
        <v>Engineering</v>
      </c>
      <c r="H2" t="s">
        <v>537</v>
      </c>
      <c r="I2" t="s">
        <v>483</v>
      </c>
      <c r="J2" t="str" cm="1">
        <f t="array" ref="J2:J9">IF(NOT(Table23[Score]&lt;50),"Pass","Review")</f>
        <v>Pass</v>
      </c>
      <c r="K2" t="str" cm="1">
        <f t="array" ref="K2">IF(OR(AND(Table23[Score]&gt;80,Table23[Training]="Yes"),Table23[Tenure]&gt;=5),"Bonus yes","No bonus")</f>
        <v>Bonus yes</v>
      </c>
      <c r="L2" t="str" cm="1">
        <f t="array" ref="L2:L9">IF(Table23[Score]&gt;=90,"Gold",IF(Table23[Score]&gt;=75,"Silver","None"))</f>
        <v>Gold</v>
      </c>
    </row>
    <row r="3" spans="1:12">
      <c r="A3" t="s">
        <v>538</v>
      </c>
      <c r="B3" t="s">
        <v>95</v>
      </c>
      <c r="C3" t="s">
        <v>539</v>
      </c>
      <c r="D3">
        <v>85</v>
      </c>
      <c r="E3" t="s">
        <v>284</v>
      </c>
      <c r="F3">
        <v>6</v>
      </c>
      <c r="G3" t="str" cm="1">
        <f t="array" ref="G3">_xlfn.XLOOKUP(C3,Table25[[#All],[Dept_ID]],Table25[[#All],[Dept_Name]],,0)</f>
        <v>Marketing</v>
      </c>
      <c r="H3" t="s">
        <v>539</v>
      </c>
      <c r="I3" t="s">
        <v>290</v>
      </c>
      <c r="J3" t="str">
        <v>Pass</v>
      </c>
      <c r="K3" t="str" cm="1">
        <f t="array" ref="K3">IF(OR(AND(Table23[Score]&gt;80,Table23[Training]="Yes"),Table23[Tenure]&gt;=5),"Bonus yes","No bonus")</f>
        <v>Bonus yes</v>
      </c>
      <c r="L3" t="str">
        <v>Silver</v>
      </c>
    </row>
    <row r="4" spans="1:12">
      <c r="A4" t="s">
        <v>540</v>
      </c>
      <c r="B4" t="s">
        <v>98</v>
      </c>
      <c r="C4" t="s">
        <v>537</v>
      </c>
      <c r="D4">
        <v>45</v>
      </c>
      <c r="E4" t="s">
        <v>280</v>
      </c>
      <c r="F4">
        <v>1</v>
      </c>
      <c r="G4" t="str" cm="1">
        <f t="array" ref="G4">_xlfn.XLOOKUP(C4,Table25[[#All],[Dept_ID]],Table25[[#All],[Dept_Name]],,0)</f>
        <v>Engineering</v>
      </c>
      <c r="H4" t="s">
        <v>541</v>
      </c>
      <c r="I4" t="s">
        <v>287</v>
      </c>
      <c r="J4" t="str">
        <v>Review</v>
      </c>
      <c r="K4" t="str" cm="1">
        <f t="array" ref="K4">IF(OR(AND(Table23[Score]&gt;80,Table23[Training]="Yes"),Table23[Tenure]&gt;=5),"Bonus yes","No bonus")</f>
        <v>Bonus yes</v>
      </c>
      <c r="L4" t="str">
        <v>None</v>
      </c>
    </row>
    <row r="5" spans="1:12">
      <c r="A5" t="s">
        <v>542</v>
      </c>
      <c r="B5" t="s">
        <v>102</v>
      </c>
      <c r="C5" t="s">
        <v>541</v>
      </c>
      <c r="D5">
        <v>82</v>
      </c>
      <c r="E5" t="s">
        <v>280</v>
      </c>
      <c r="F5">
        <v>3</v>
      </c>
      <c r="G5" t="str" cm="1">
        <f t="array" ref="G5">_xlfn.XLOOKUP(C5,Table25[[#All],[Dept_ID]],Table25[[#All],[Dept_Name]],,0)</f>
        <v>Finance</v>
      </c>
      <c r="J5" t="str">
        <v>Pass</v>
      </c>
      <c r="K5" t="str" cm="1">
        <f t="array" ref="K5">IF(OR(AND(Table23[Score]&gt;80,Table23[Training]="Yes"),Table23[Tenure]&gt;=5),"Bonus yes","No bonus")</f>
        <v>Bonus yes</v>
      </c>
      <c r="L5" t="str">
        <v>Silver</v>
      </c>
    </row>
    <row r="6" spans="1:12">
      <c r="A6" t="s">
        <v>543</v>
      </c>
      <c r="B6" t="s">
        <v>106</v>
      </c>
      <c r="C6" t="s">
        <v>539</v>
      </c>
      <c r="D6">
        <v>70</v>
      </c>
      <c r="E6" t="s">
        <v>280</v>
      </c>
      <c r="F6">
        <v>4</v>
      </c>
      <c r="G6" t="str" cm="1">
        <f t="array" ref="G6">_xlfn.XLOOKUP(C6,Table25[[#All],[Dept_ID]],Table25[[#All],[Dept_Name]],,0)</f>
        <v>Marketing</v>
      </c>
      <c r="J6" t="str">
        <v>Pass</v>
      </c>
      <c r="K6" t="str" cm="1">
        <f t="array" ref="K6">IF(OR(AND(Table23[Score]&gt;80,Table23[Training]="Yes"),Table23[Tenure]&gt;=5),"Bonus yes","No bonus")</f>
        <v>Bonus yes</v>
      </c>
      <c r="L6" t="str">
        <v>None</v>
      </c>
    </row>
    <row r="7" spans="1:12">
      <c r="A7" t="s">
        <v>544</v>
      </c>
      <c r="B7" t="s">
        <v>109</v>
      </c>
      <c r="C7" t="s">
        <v>541</v>
      </c>
      <c r="D7">
        <v>91</v>
      </c>
      <c r="E7" t="s">
        <v>284</v>
      </c>
      <c r="F7">
        <v>8</v>
      </c>
      <c r="G7" t="str" cm="1">
        <f t="array" ref="G7">_xlfn.XLOOKUP(C7,Table25[[#All],[Dept_ID]],Table25[[#All],[Dept_Name]],,0)</f>
        <v>Finance</v>
      </c>
      <c r="J7" t="str">
        <v>Pass</v>
      </c>
      <c r="K7" t="str" cm="1">
        <f t="array" ref="K7">IF(OR(AND(Table23[Score]&gt;80,Table23[Training]="Yes"),Table23[Tenure]&gt;=5),"Bonus yes","No bonus")</f>
        <v>Bonus yes</v>
      </c>
      <c r="L7" t="str">
        <v>Gold</v>
      </c>
    </row>
    <row r="8" spans="1:12">
      <c r="A8" t="s">
        <v>545</v>
      </c>
      <c r="B8" t="s">
        <v>112</v>
      </c>
      <c r="C8" t="s">
        <v>537</v>
      </c>
      <c r="D8">
        <v>60</v>
      </c>
      <c r="E8" t="s">
        <v>284</v>
      </c>
      <c r="F8">
        <v>2</v>
      </c>
      <c r="G8" t="str" cm="1">
        <f t="array" ref="G8">_xlfn.XLOOKUP(C8,Table25[[#All],[Dept_ID]],Table25[[#All],[Dept_Name]],,0)</f>
        <v>Engineering</v>
      </c>
      <c r="J8" t="str">
        <v>Pass</v>
      </c>
      <c r="K8" t="str" cm="1">
        <f t="array" ref="K8">IF(OR(AND(Table23[Score]&gt;80,Table23[Training]="Yes"),Table23[Tenure]&gt;=5),"Bonus yes","No bonus")</f>
        <v>Bonus yes</v>
      </c>
      <c r="L8" t="str">
        <v>None</v>
      </c>
    </row>
    <row r="9" spans="1:12">
      <c r="A9" t="s">
        <v>546</v>
      </c>
      <c r="B9" t="s">
        <v>121</v>
      </c>
      <c r="C9" t="s">
        <v>539</v>
      </c>
      <c r="D9">
        <v>88</v>
      </c>
      <c r="E9" t="s">
        <v>280</v>
      </c>
      <c r="F9">
        <v>5</v>
      </c>
      <c r="G9" t="str" cm="1">
        <f t="array" ref="G9">_xlfn.XLOOKUP(C9,Table25[[#All],[Dept_ID]],Table25[[#All],[Dept_Name]],,0)</f>
        <v>Marketing</v>
      </c>
      <c r="J9" t="str">
        <v>Pass</v>
      </c>
      <c r="K9" t="str" cm="1">
        <f t="array" ref="K9">IF(OR(AND(Table23[Score]&gt;80,Table23[Training]="Yes"),Table23[Tenure]&gt;=5),"Bonus yes","No bonus")</f>
        <v>Bonus yes</v>
      </c>
      <c r="L9" t="str">
        <v>Silver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3C4D-9ED2-4999-B93B-F24902A578AB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Atharva Gotad</cp:lastModifiedBy>
  <cp:revision/>
  <dcterms:created xsi:type="dcterms:W3CDTF">2026-09-28T15:12:50Z</dcterms:created>
  <dcterms:modified xsi:type="dcterms:W3CDTF">2026-10-11T15:15:00Z</dcterms:modified>
  <cp:category/>
  <cp:contentStatus/>
</cp:coreProperties>
</file>